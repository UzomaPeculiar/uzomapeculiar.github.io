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hidePivotFieldList="1" defaultThemeVersion="202300"/>
  <mc:AlternateContent xmlns:mc="http://schemas.openxmlformats.org/markup-compatibility/2006">
    <mc:Choice Requires="x15">
      <x15ac:absPath xmlns:x15ac="http://schemas.microsoft.com/office/spreadsheetml/2010/11/ac" url="C:\Users\Uzoma Peculiar\Desktop\DATA ANAYLSIS\Excel Projects\"/>
    </mc:Choice>
  </mc:AlternateContent>
  <xr:revisionPtr revIDLastSave="0" documentId="13_ncr:1_{7F1456A4-36BB-4AD0-9E21-5864E0D51E57}" xr6:coauthVersionLast="47" xr6:coauthVersionMax="47" xr10:uidLastSave="{00000000-0000-0000-0000-000000000000}"/>
  <bookViews>
    <workbookView xWindow="-120" yWindow="-120" windowWidth="20730" windowHeight="11040" firstSheet="1" activeTab="5" xr2:uid="{683BE23C-CE27-4029-B818-6ACF54BF33FE}"/>
  </bookViews>
  <sheets>
    <sheet name="Charts of Accounts" sheetId="1" r:id="rId1"/>
    <sheet name="General Entries" sheetId="2" r:id="rId2"/>
    <sheet name="Ledger" sheetId="3" r:id="rId3"/>
    <sheet name="Trial Balance" sheetId="5" r:id="rId4"/>
    <sheet name="Income Statement" sheetId="6" r:id="rId5"/>
    <sheet name="Balance Sheet" sheetId="9" r:id="rId6"/>
  </sheets>
  <definedNames>
    <definedName name="Slicer_Account">#N/A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4" i="9" l="1"/>
  <c r="H15" i="9"/>
  <c r="H14" i="9"/>
  <c r="D17" i="9"/>
  <c r="D16" i="9"/>
  <c r="D15" i="9"/>
  <c r="D14" i="9"/>
  <c r="D10" i="9"/>
  <c r="E13" i="6"/>
  <c r="E12" i="6"/>
  <c r="F6" i="6"/>
  <c r="F7" i="6"/>
  <c r="B3" i="3"/>
  <c r="D3" i="3" s="1"/>
  <c r="I16" i="9" l="1"/>
  <c r="E18" i="9"/>
  <c r="E29" i="9" s="1"/>
  <c r="F14" i="6"/>
  <c r="F8" i="6"/>
  <c r="F15" i="6" s="1"/>
  <c r="F16" i="6" s="1"/>
  <c r="F17" i="6" s="1"/>
  <c r="H25" i="9" s="1"/>
  <c r="I26" i="9" s="1"/>
  <c r="I29" i="9" s="1"/>
</calcChain>
</file>

<file path=xl/sharedStrings.xml><?xml version="1.0" encoding="utf-8"?>
<sst xmlns="http://schemas.openxmlformats.org/spreadsheetml/2006/main" count="247" uniqueCount="74">
  <si>
    <t xml:space="preserve">Date </t>
  </si>
  <si>
    <t xml:space="preserve">Description </t>
  </si>
  <si>
    <t>Account</t>
  </si>
  <si>
    <t>Debit</t>
  </si>
  <si>
    <t>Credit</t>
  </si>
  <si>
    <t>Comments</t>
  </si>
  <si>
    <t>Assets</t>
  </si>
  <si>
    <t>Liabilities</t>
  </si>
  <si>
    <t>Equity</t>
  </si>
  <si>
    <t>Expenses</t>
  </si>
  <si>
    <t>Revenue</t>
  </si>
  <si>
    <t>Contra Revenue</t>
  </si>
  <si>
    <t>Current Assets</t>
  </si>
  <si>
    <t>Fixed Assets</t>
  </si>
  <si>
    <t>Current Liabilities</t>
  </si>
  <si>
    <t>Fixed Liabilities</t>
  </si>
  <si>
    <t>Accounts</t>
  </si>
  <si>
    <t>Sub Accounts</t>
  </si>
  <si>
    <t>Individual Accounts</t>
  </si>
  <si>
    <t>Establishing a Business</t>
  </si>
  <si>
    <t>Cash</t>
  </si>
  <si>
    <t>Equity - Owais</t>
  </si>
  <si>
    <t>Bank - 1122</t>
  </si>
  <si>
    <t>Deposit into Bank</t>
  </si>
  <si>
    <t>Mr. Kunle went to bank to deposit</t>
  </si>
  <si>
    <t>Inventory</t>
  </si>
  <si>
    <t>Mr. Ayo</t>
  </si>
  <si>
    <t>Purchased Inventory</t>
  </si>
  <si>
    <t>Sales</t>
  </si>
  <si>
    <t>Sold Inventory for Cash</t>
  </si>
  <si>
    <t>Cost of Goods Sold</t>
  </si>
  <si>
    <t>Adjust Inventory Against COGS</t>
  </si>
  <si>
    <t>Paul</t>
  </si>
  <si>
    <t>Sold Inventory on Credit</t>
  </si>
  <si>
    <t>Electricity</t>
  </si>
  <si>
    <t>Paid Electricity</t>
  </si>
  <si>
    <t>Salary</t>
  </si>
  <si>
    <t>Paid Salaries</t>
  </si>
  <si>
    <t xml:space="preserve"> Paid to Mr. Ayo</t>
  </si>
  <si>
    <t>Paid to Mr. Ayo</t>
  </si>
  <si>
    <t>Received from Mr. Paul</t>
  </si>
  <si>
    <t>Grand Total</t>
  </si>
  <si>
    <t>Sum of Debit</t>
  </si>
  <si>
    <t>Sum of Credit</t>
  </si>
  <si>
    <t>Sum of Balance</t>
  </si>
  <si>
    <t>TRAIL BALANCE</t>
  </si>
  <si>
    <t>MR. OWAIS LTD</t>
  </si>
  <si>
    <t>INCOME STATEMENT</t>
  </si>
  <si>
    <t>Financial Statement</t>
  </si>
  <si>
    <t>Balance Sheet</t>
  </si>
  <si>
    <t>Income Statement</t>
  </si>
  <si>
    <t>Gross Profit</t>
  </si>
  <si>
    <t>OPERATING EXPENSES</t>
  </si>
  <si>
    <t>Total of Operating Expenses</t>
  </si>
  <si>
    <t>Operating Profit</t>
  </si>
  <si>
    <t>Taxes(15%)</t>
  </si>
  <si>
    <t>Net Profit</t>
  </si>
  <si>
    <t>Taxes</t>
  </si>
  <si>
    <t>Govt</t>
  </si>
  <si>
    <t>Payable Taxes to Govt</t>
  </si>
  <si>
    <t>Mr. Owais Ltd</t>
  </si>
  <si>
    <t>for the period 1st Jan. 2023 to 31st Mar 2023</t>
  </si>
  <si>
    <t>as on 30 Mar 2023</t>
  </si>
  <si>
    <t>Liabilities &amp; Equities</t>
  </si>
  <si>
    <t>Shop</t>
  </si>
  <si>
    <t>Purchased a Shop</t>
  </si>
  <si>
    <t>Total of Fixed Assets</t>
  </si>
  <si>
    <t>Total of Current Assets</t>
  </si>
  <si>
    <t>TOTAL OF ASSETS</t>
  </si>
  <si>
    <t>Total of Current Liabilities</t>
  </si>
  <si>
    <t>TOTAL OF LIABILITIES</t>
  </si>
  <si>
    <t>Retain Earning</t>
  </si>
  <si>
    <t>Total of Equity</t>
  </si>
  <si>
    <t>TOTAL OF LIABILITIES + EQUITY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</si>
</sst>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2" formatCode="_-&quot;₦&quot;* #,##0_-;\-&quot;₦&quot;* #,##0_-;_-&quot;₦&quot;* &quot;-&quot;_-;_-@_-"/>
    <numFmt numFmtId="43" formatCode="_-* #,##0.00_-;\-* #,##0.00_-;_-* &quot;-&quot;??_-;_-@_-"/>
    <numFmt numFmtId="164" formatCode="_-* #,##0_-;\-* #,##0_-;_-* &quot;-&quot;??_-;_-@_-"/>
  </numFmts>
  <fonts count="13" x14ac:knownFonts="1">
    <font>
      <sz val="11"/>
      <color theme="1"/>
      <name val="Aptos Narrow"/>
      <family val="2"/>
      <scheme val="minor"/>
    </font>
    <font>
      <sz val="11"/>
      <color theme="1"/>
      <name val="Aptos Narrow"/>
      <family val="2"/>
      <scheme val="minor"/>
    </font>
    <font>
      <sz val="14"/>
      <color theme="1"/>
      <name val="Aptos Narrow"/>
      <family val="2"/>
      <scheme val="minor"/>
    </font>
    <font>
      <b/>
      <i/>
      <sz val="36"/>
      <color theme="1"/>
      <name val="Aptos Narrow"/>
      <family val="2"/>
      <scheme val="minor"/>
    </font>
    <font>
      <b/>
      <sz val="24"/>
      <color theme="1"/>
      <name val="Aptos Narrow"/>
      <family val="2"/>
      <scheme val="minor"/>
    </font>
    <font>
      <b/>
      <sz val="18"/>
      <color theme="1"/>
      <name val="Aptos Narrow"/>
      <family val="2"/>
      <scheme val="minor"/>
    </font>
    <font>
      <b/>
      <i/>
      <sz val="12"/>
      <color theme="1"/>
      <name val="Aptos Narrow"/>
      <family val="2"/>
      <scheme val="minor"/>
    </font>
    <font>
      <b/>
      <i/>
      <sz val="14"/>
      <color theme="1"/>
      <name val="Aptos Narrow"/>
      <family val="2"/>
      <scheme val="minor"/>
    </font>
    <font>
      <i/>
      <sz val="14"/>
      <color theme="1"/>
      <name val="Aptos Narrow"/>
      <family val="2"/>
      <scheme val="minor"/>
    </font>
    <font>
      <b/>
      <sz val="14"/>
      <color theme="1"/>
      <name val="Aptos Narrow"/>
      <family val="2"/>
      <scheme val="minor"/>
    </font>
    <font>
      <b/>
      <i/>
      <sz val="20"/>
      <color theme="1"/>
      <name val="Aptos Narrow"/>
      <family val="2"/>
      <scheme val="minor"/>
    </font>
    <font>
      <b/>
      <i/>
      <u/>
      <sz val="14"/>
      <color theme="1"/>
      <name val="Aptos Narrow"/>
      <family val="2"/>
      <scheme val="minor"/>
    </font>
    <font>
      <sz val="8"/>
      <name val="Aptos Narrow"/>
      <family val="2"/>
      <scheme val="minor"/>
    </font>
  </fonts>
  <fills count="3">
    <fill>
      <patternFill patternType="none"/>
    </fill>
    <fill>
      <patternFill patternType="gray125"/>
    </fill>
    <fill>
      <patternFill patternType="solid">
        <fgColor rgb="FFFFFF00"/>
        <bgColor indexed="64"/>
      </patternFill>
    </fill>
  </fills>
  <borders count="18">
    <border>
      <left/>
      <right/>
      <top/>
      <bottom/>
      <diagonal/>
    </border>
    <border>
      <left/>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74">
    <xf numFmtId="0" fontId="0" fillId="0" borderId="0" xfId="0"/>
    <xf numFmtId="15" fontId="0" fillId="0" borderId="0" xfId="0" applyNumberFormat="1"/>
    <xf numFmtId="0" fontId="0" fillId="2" borderId="0" xfId="0" applyFill="1"/>
    <xf numFmtId="0" fontId="0" fillId="0" borderId="0" xfId="0" applyAlignment="1">
      <alignment vertical="center"/>
    </xf>
    <xf numFmtId="42" fontId="0" fillId="0" borderId="0" xfId="1" applyNumberFormat="1" applyFont="1"/>
    <xf numFmtId="164" fontId="9" fillId="0" borderId="1" xfId="1" applyNumberFormat="1" applyFont="1" applyBorder="1" applyAlignment="1">
      <alignment vertical="center"/>
    </xf>
    <xf numFmtId="164" fontId="9" fillId="0" borderId="0" xfId="1" applyNumberFormat="1" applyFont="1" applyBorder="1" applyAlignment="1">
      <alignment vertical="center"/>
    </xf>
    <xf numFmtId="0" fontId="0" fillId="0" borderId="5" xfId="0" applyBorder="1"/>
    <xf numFmtId="0" fontId="0" fillId="0" borderId="6" xfId="0" applyBorder="1"/>
    <xf numFmtId="0" fontId="0" fillId="0" borderId="5" xfId="0" applyBorder="1" applyAlignment="1">
      <alignment vertical="center"/>
    </xf>
    <xf numFmtId="0" fontId="8" fillId="0" borderId="0" xfId="0" applyFont="1" applyAlignment="1">
      <alignment vertical="center"/>
    </xf>
    <xf numFmtId="164" fontId="2" fillId="0" borderId="0" xfId="1" applyNumberFormat="1" applyFont="1" applyBorder="1" applyAlignment="1">
      <alignment vertical="center"/>
    </xf>
    <xf numFmtId="0" fontId="0" fillId="0" borderId="6" xfId="0" applyBorder="1" applyAlignment="1">
      <alignment vertical="center"/>
    </xf>
    <xf numFmtId="0" fontId="9" fillId="0" borderId="0" xfId="0" applyFont="1" applyAlignment="1">
      <alignment vertical="center"/>
    </xf>
    <xf numFmtId="0" fontId="7" fillId="0" borderId="0" xfId="0" applyFont="1" applyAlignment="1">
      <alignment vertical="center"/>
    </xf>
    <xf numFmtId="0" fontId="0" fillId="0" borderId="7" xfId="0" applyBorder="1"/>
    <xf numFmtId="0" fontId="0" fillId="0" borderId="8" xfId="0" applyBorder="1"/>
    <xf numFmtId="0" fontId="0" fillId="0" borderId="9" xfId="0" applyBorder="1"/>
    <xf numFmtId="0" fontId="0" fillId="0" borderId="4" xfId="0" applyBorder="1"/>
    <xf numFmtId="0" fontId="11" fillId="0" borderId="5" xfId="0" applyFont="1" applyBorder="1"/>
    <xf numFmtId="0" fontId="11" fillId="0" borderId="0" xfId="0" applyFont="1"/>
    <xf numFmtId="0" fontId="11" fillId="0" borderId="6" xfId="0" applyFont="1" applyBorder="1"/>
    <xf numFmtId="164" fontId="9" fillId="0" borderId="4" xfId="1" applyNumberFormat="1" applyFont="1" applyBorder="1" applyAlignment="1">
      <alignment vertical="center"/>
    </xf>
    <xf numFmtId="164" fontId="9" fillId="0" borderId="3" xfId="1" applyNumberFormat="1" applyFont="1" applyBorder="1" applyAlignment="1">
      <alignment vertical="center"/>
    </xf>
    <xf numFmtId="0" fontId="0" fillId="0" borderId="3" xfId="0" applyBorder="1" applyAlignment="1">
      <alignment vertical="center"/>
    </xf>
    <xf numFmtId="164" fontId="9" fillId="0" borderId="10" xfId="1" applyNumberFormat="1" applyFont="1" applyBorder="1" applyAlignment="1">
      <alignment vertical="center"/>
    </xf>
    <xf numFmtId="0" fontId="11" fillId="0" borderId="5" xfId="0" applyFont="1" applyBorder="1" applyAlignment="1">
      <alignment horizontal="left" indent="1"/>
    </xf>
    <xf numFmtId="0" fontId="8" fillId="0" borderId="0" xfId="0" applyFont="1" applyAlignment="1">
      <alignment horizontal="left" vertical="center" indent="1"/>
    </xf>
    <xf numFmtId="0" fontId="7" fillId="0" borderId="0" xfId="0" applyFont="1" applyAlignment="1">
      <alignment horizontal="left" vertical="center" indent="1"/>
    </xf>
    <xf numFmtId="0" fontId="11" fillId="0" borderId="5" xfId="0" applyFont="1" applyBorder="1" applyAlignment="1">
      <alignment horizontal="left" indent="2"/>
    </xf>
    <xf numFmtId="164" fontId="9" fillId="0" borderId="6" xfId="1" applyNumberFormat="1" applyFont="1" applyBorder="1" applyAlignment="1">
      <alignment vertical="center"/>
    </xf>
    <xf numFmtId="0" fontId="11" fillId="0" borderId="0" xfId="0" applyFont="1" applyAlignment="1">
      <alignment horizontal="left" indent="1"/>
    </xf>
    <xf numFmtId="0" fontId="9" fillId="0" borderId="5" xfId="0" applyFont="1" applyBorder="1" applyAlignment="1">
      <alignment vertical="center"/>
    </xf>
    <xf numFmtId="0" fontId="0" fillId="0" borderId="3" xfId="0" applyBorder="1"/>
    <xf numFmtId="0" fontId="0" fillId="0" borderId="5" xfId="0" pivotButton="1" applyBorder="1"/>
    <xf numFmtId="42" fontId="0" fillId="0" borderId="0" xfId="0" applyNumberFormat="1"/>
    <xf numFmtId="0" fontId="3" fillId="0" borderId="2" xfId="0" applyFont="1" applyBorder="1"/>
    <xf numFmtId="0" fontId="4" fillId="0" borderId="3" xfId="0" applyFont="1" applyBorder="1" applyAlignment="1">
      <alignment vertical="center"/>
    </xf>
    <xf numFmtId="42" fontId="0" fillId="0" borderId="8" xfId="0" applyNumberFormat="1" applyBorder="1"/>
    <xf numFmtId="42" fontId="0" fillId="0" borderId="6" xfId="0" applyNumberFormat="1" applyBorder="1"/>
    <xf numFmtId="42" fontId="0" fillId="0" borderId="9" xfId="0" applyNumberFormat="1" applyBorder="1"/>
    <xf numFmtId="0" fontId="5" fillId="0" borderId="2" xfId="0" applyFont="1"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7" fillId="0" borderId="5" xfId="0" applyFont="1" applyBorder="1" applyAlignment="1">
      <alignment horizontal="center"/>
    </xf>
    <xf numFmtId="0" fontId="7" fillId="0" borderId="0" xfId="0" applyFont="1" applyAlignment="1">
      <alignment horizontal="center"/>
    </xf>
    <xf numFmtId="0" fontId="7" fillId="0" borderId="6" xfId="0" applyFont="1" applyBorder="1" applyAlignment="1">
      <alignment horizontal="center"/>
    </xf>
    <xf numFmtId="0" fontId="6" fillId="0" borderId="5" xfId="0" applyFont="1" applyBorder="1" applyAlignment="1">
      <alignment horizontal="center"/>
    </xf>
    <xf numFmtId="0" fontId="6" fillId="0" borderId="0" xfId="0" applyFont="1" applyAlignment="1">
      <alignment horizontal="center"/>
    </xf>
    <xf numFmtId="0" fontId="6" fillId="0" borderId="6" xfId="0" applyFont="1" applyBorder="1" applyAlignment="1">
      <alignment horizontal="center"/>
    </xf>
    <xf numFmtId="0" fontId="10" fillId="0" borderId="2" xfId="0" applyFont="1" applyBorder="1" applyAlignment="1">
      <alignment horizontal="center"/>
    </xf>
    <xf numFmtId="0" fontId="10" fillId="0" borderId="3" xfId="0" applyFont="1" applyBorder="1" applyAlignment="1">
      <alignment horizontal="center"/>
    </xf>
    <xf numFmtId="0" fontId="10" fillId="0" borderId="4" xfId="0" applyFont="1" applyBorder="1" applyAlignment="1">
      <alignment horizontal="center"/>
    </xf>
    <xf numFmtId="0" fontId="7" fillId="0" borderId="7" xfId="0" applyFont="1" applyBorder="1" applyAlignment="1">
      <alignment horizontal="center"/>
    </xf>
    <xf numFmtId="0" fontId="7" fillId="0" borderId="8" xfId="0" applyFont="1" applyBorder="1" applyAlignment="1">
      <alignment horizontal="center"/>
    </xf>
    <xf numFmtId="0" fontId="7" fillId="0" borderId="9" xfId="0" applyFont="1" applyBorder="1" applyAlignment="1">
      <alignment horizontal="center"/>
    </xf>
    <xf numFmtId="42" fontId="0" fillId="0" borderId="0" xfId="0" applyNumberFormat="1" applyBorder="1"/>
    <xf numFmtId="42" fontId="0" fillId="0" borderId="2" xfId="0" applyNumberFormat="1" applyBorder="1"/>
    <xf numFmtId="42" fontId="0" fillId="0" borderId="3" xfId="0" applyNumberFormat="1" applyBorder="1"/>
    <xf numFmtId="42" fontId="0" fillId="0" borderId="4" xfId="0" applyNumberFormat="1" applyBorder="1"/>
    <xf numFmtId="42" fontId="0" fillId="0" borderId="5" xfId="0" applyNumberFormat="1" applyBorder="1"/>
    <xf numFmtId="42" fontId="0" fillId="0" borderId="7" xfId="0" applyNumberFormat="1" applyBorder="1"/>
    <xf numFmtId="0" fontId="0" fillId="0" borderId="11" xfId="0" pivotButton="1" applyBorder="1"/>
    <xf numFmtId="15" fontId="0" fillId="0" borderId="12" xfId="0" applyNumberFormat="1" applyBorder="1"/>
    <xf numFmtId="15" fontId="0" fillId="0" borderId="13" xfId="0" applyNumberFormat="1" applyBorder="1"/>
    <xf numFmtId="15" fontId="0" fillId="0" borderId="14" xfId="0" applyNumberFormat="1" applyBorder="1"/>
    <xf numFmtId="15" fontId="0" fillId="0" borderId="15" xfId="0" applyNumberFormat="1" applyBorder="1"/>
    <xf numFmtId="0" fontId="0" fillId="0" borderId="16" xfId="0" applyBorder="1"/>
    <xf numFmtId="0" fontId="0" fillId="0" borderId="17" xfId="0" applyBorder="1"/>
    <xf numFmtId="0" fontId="0" fillId="0" borderId="11" xfId="0" applyBorder="1"/>
    <xf numFmtId="0" fontId="0" fillId="0" borderId="15" xfId="0" applyBorder="1"/>
    <xf numFmtId="0" fontId="0" fillId="0" borderId="12" xfId="0" applyBorder="1"/>
    <xf numFmtId="0" fontId="0" fillId="0" borderId="14" xfId="0" applyBorder="1"/>
    <xf numFmtId="0" fontId="0" fillId="0" borderId="13" xfId="0" applyBorder="1"/>
  </cellXfs>
  <cellStyles count="2">
    <cellStyle name="Comma" xfId="1" builtinId="3"/>
    <cellStyle name="Normal" xfId="0" builtinId="0"/>
  </cellStyles>
  <dxfs count="488">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2" formatCode="_-&quot;₦&quot;* #,##0_-;\-&quot;₦&quot;* #,##0_-;_-&quot;₦&quot;* &quot;-&quot;_-;_-@_-"/>
    </dxf>
    <dxf>
      <numFmt numFmtId="32" formatCode="_-&quot;₦&quot;* #,##0_-;\-&quot;₦&quot;* #,##0_-;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7</xdr:col>
      <xdr:colOff>19050</xdr:colOff>
      <xdr:row>3</xdr:row>
      <xdr:rowOff>0</xdr:rowOff>
    </xdr:from>
    <xdr:to>
      <xdr:col>10</xdr:col>
      <xdr:colOff>19050</xdr:colOff>
      <xdr:row>16</xdr:row>
      <xdr:rowOff>52916</xdr:rowOff>
    </xdr:to>
    <mc:AlternateContent xmlns:mc="http://schemas.openxmlformats.org/markup-compatibility/2006" xmlns:a14="http://schemas.microsoft.com/office/drawing/2010/main">
      <mc:Choice Requires="a14">
        <xdr:graphicFrame macro="">
          <xdr:nvGraphicFramePr>
            <xdr:cNvPr id="2" name="Account">
              <a:extLst>
                <a:ext uri="{FF2B5EF4-FFF2-40B4-BE49-F238E27FC236}">
                  <a16:creationId xmlns:a16="http://schemas.microsoft.com/office/drawing/2014/main" id="{8574C0BA-89AD-3711-5226-8B0253292F2A}"/>
                </a:ext>
              </a:extLst>
            </xdr:cNvPr>
            <xdr:cNvGraphicFramePr/>
          </xdr:nvGraphicFramePr>
          <xdr:xfrm>
            <a:off x="0" y="0"/>
            <a:ext cx="0" cy="0"/>
          </xdr:xfrm>
          <a:graphic>
            <a:graphicData uri="http://schemas.microsoft.com/office/drawing/2010/slicer">
              <sle:slicer xmlns:sle="http://schemas.microsoft.com/office/drawing/2010/slicer" name="Account"/>
            </a:graphicData>
          </a:graphic>
        </xdr:graphicFrame>
      </mc:Choice>
      <mc:Fallback xmlns="">
        <xdr:sp macro="" textlink="">
          <xdr:nvSpPr>
            <xdr:cNvPr id="0" name=""/>
            <xdr:cNvSpPr>
              <a:spLocks noTextEdit="1"/>
            </xdr:cNvSpPr>
          </xdr:nvSpPr>
          <xdr:spPr>
            <a:xfrm>
              <a:off x="9755717" y="984250"/>
              <a:ext cx="1841500" cy="2667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zoma Peculiar" refreshedDate="45472.452904976853" createdVersion="8" refreshedVersion="8" minRefreshableVersion="3" recordCount="28" xr:uid="{93028EA7-19F2-407F-9B48-BB1F81EA01E3}">
  <cacheSource type="worksheet">
    <worksheetSource name="Journal_Table"/>
  </cacheSource>
  <cacheFields count="7">
    <cacheField name="Date " numFmtId="15">
      <sharedItems containsSemiMixedTypes="0" containsNonDate="0" containsDate="1" containsString="0" minDate="2023-01-01T00:00:00" maxDate="2024-03-31T00:00:00" count="15">
        <d v="2023-01-01T00:00:00"/>
        <d v="2023-01-02T00:00:00"/>
        <d v="2023-01-03T00:00:00"/>
        <d v="2023-01-04T00:00:00"/>
        <d v="2023-01-10T00:00:00"/>
        <d v="2023-01-15T00:00:00"/>
        <d v="2023-01-18T00:00:00"/>
        <d v="2023-01-30T00:00:00"/>
        <d v="2023-02-02T00:00:00"/>
        <d v="2023-02-05T00:00:00"/>
        <d v="2023-02-10T00:00:00"/>
        <d v="2023-03-30T00:00:00"/>
        <d v="2024-02-02T00:00:00" u="1"/>
        <d v="2024-02-05T00:00:00" u="1"/>
        <d v="2024-03-30T00:00:00" u="1"/>
      </sharedItems>
    </cacheField>
    <cacheField name="Description " numFmtId="0">
      <sharedItems containsBlank="1" count="14">
        <s v="Establishing a Business"/>
        <s v="Deposit into Bank"/>
        <s v="Purchased Inventory"/>
        <s v="Sold Inventory for Cash"/>
        <s v="Adjust Inventory Against COGS"/>
        <s v="Sold Inventory on Credit"/>
        <s v="Paid Electricity"/>
        <s v="Paid Salaries"/>
        <s v=" Paid to Mr. Ayo"/>
        <s v="Paid to Mr. Ayo"/>
        <s v="Received from Mr. Paul"/>
        <s v="Purchased a Shop"/>
        <s v="Payable Taxes to Govt"/>
        <m u="1"/>
      </sharedItems>
    </cacheField>
    <cacheField name="Account" numFmtId="0">
      <sharedItems containsBlank="1" count="14">
        <s v="Cash"/>
        <s v="Equity - Owais"/>
        <s v="Bank - 1122"/>
        <s v="Inventory"/>
        <s v="Mr. Ayo"/>
        <s v="Sales"/>
        <s v="Cost of Goods Sold"/>
        <s v="Paul"/>
        <s v="Electricity"/>
        <s v="Salary"/>
        <s v="Shop"/>
        <s v="Taxes"/>
        <s v="Govt"/>
        <m u="1"/>
      </sharedItems>
    </cacheField>
    <cacheField name="Debit" numFmtId="42">
      <sharedItems containsString="0" containsBlank="1" containsNumber="1" containsInteger="1" minValue="15000" maxValue="1000000"/>
    </cacheField>
    <cacheField name="Credit" numFmtId="42">
      <sharedItems containsString="0" containsBlank="1" containsNumber="1" containsInteger="1" minValue="15000" maxValue="1000000"/>
    </cacheField>
    <cacheField name="Comments" numFmtId="0">
      <sharedItems containsBlank="1"/>
    </cacheField>
    <cacheField name="Balance" numFmtId="0" formula="Debit-Credit" databaseField="0"/>
  </cacheFields>
  <extLst>
    <ext xmlns:x14="http://schemas.microsoft.com/office/spreadsheetml/2009/9/main" uri="{725AE2AE-9491-48be-B2B4-4EB974FC3084}">
      <x14:pivotCacheDefinition pivotCacheId="15477034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
  <r>
    <x v="0"/>
    <x v="0"/>
    <x v="0"/>
    <n v="1000000"/>
    <m/>
    <m/>
  </r>
  <r>
    <x v="0"/>
    <x v="0"/>
    <x v="1"/>
    <m/>
    <n v="1000000"/>
    <m/>
  </r>
  <r>
    <x v="1"/>
    <x v="1"/>
    <x v="2"/>
    <n v="500000"/>
    <m/>
    <s v="Mr. Kunle went to bank to deposit"/>
  </r>
  <r>
    <x v="1"/>
    <x v="1"/>
    <x v="0"/>
    <m/>
    <n v="500000"/>
    <s v="Mr. Kunle went to bank to deposit"/>
  </r>
  <r>
    <x v="2"/>
    <x v="2"/>
    <x v="3"/>
    <n v="600000"/>
    <m/>
    <m/>
  </r>
  <r>
    <x v="2"/>
    <x v="2"/>
    <x v="4"/>
    <m/>
    <n v="600000"/>
    <m/>
  </r>
  <r>
    <x v="3"/>
    <x v="2"/>
    <x v="3"/>
    <n v="200000"/>
    <m/>
    <m/>
  </r>
  <r>
    <x v="3"/>
    <x v="2"/>
    <x v="2"/>
    <m/>
    <n v="200000"/>
    <m/>
  </r>
  <r>
    <x v="4"/>
    <x v="3"/>
    <x v="0"/>
    <n v="400000"/>
    <m/>
    <m/>
  </r>
  <r>
    <x v="4"/>
    <x v="3"/>
    <x v="5"/>
    <m/>
    <n v="400000"/>
    <m/>
  </r>
  <r>
    <x v="4"/>
    <x v="4"/>
    <x v="6"/>
    <n v="300000"/>
    <m/>
    <m/>
  </r>
  <r>
    <x v="4"/>
    <x v="4"/>
    <x v="3"/>
    <m/>
    <n v="300000"/>
    <m/>
  </r>
  <r>
    <x v="5"/>
    <x v="5"/>
    <x v="7"/>
    <n v="300000"/>
    <m/>
    <m/>
  </r>
  <r>
    <x v="5"/>
    <x v="5"/>
    <x v="5"/>
    <m/>
    <n v="300000"/>
    <m/>
  </r>
  <r>
    <x v="5"/>
    <x v="4"/>
    <x v="6"/>
    <n v="150000"/>
    <m/>
    <m/>
  </r>
  <r>
    <x v="5"/>
    <x v="4"/>
    <x v="3"/>
    <m/>
    <n v="150000"/>
    <m/>
  </r>
  <r>
    <x v="6"/>
    <x v="6"/>
    <x v="8"/>
    <n v="15000"/>
    <m/>
    <m/>
  </r>
  <r>
    <x v="6"/>
    <x v="6"/>
    <x v="2"/>
    <m/>
    <n v="15000"/>
    <m/>
  </r>
  <r>
    <x v="7"/>
    <x v="7"/>
    <x v="9"/>
    <n v="100000"/>
    <m/>
    <m/>
  </r>
  <r>
    <x v="7"/>
    <x v="7"/>
    <x v="0"/>
    <m/>
    <n v="100000"/>
    <m/>
  </r>
  <r>
    <x v="8"/>
    <x v="8"/>
    <x v="4"/>
    <n v="100000"/>
    <m/>
    <m/>
  </r>
  <r>
    <x v="8"/>
    <x v="9"/>
    <x v="0"/>
    <m/>
    <n v="100000"/>
    <m/>
  </r>
  <r>
    <x v="9"/>
    <x v="10"/>
    <x v="2"/>
    <n v="150000"/>
    <m/>
    <m/>
  </r>
  <r>
    <x v="9"/>
    <x v="10"/>
    <x v="7"/>
    <m/>
    <n v="150000"/>
    <m/>
  </r>
  <r>
    <x v="10"/>
    <x v="11"/>
    <x v="10"/>
    <n v="100000"/>
    <m/>
    <m/>
  </r>
  <r>
    <x v="10"/>
    <x v="11"/>
    <x v="0"/>
    <m/>
    <n v="100000"/>
    <m/>
  </r>
  <r>
    <x v="11"/>
    <x v="12"/>
    <x v="11"/>
    <n v="20250"/>
    <m/>
    <m/>
  </r>
  <r>
    <x v="11"/>
    <x v="12"/>
    <x v="12"/>
    <m/>
    <n v="2025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B9B930-6EF1-4F2C-8615-8942DF176834}" name="PivotTable1"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B4:G33" firstHeaderRow="0" firstDataRow="1" firstDataCol="3"/>
  <pivotFields count="7">
    <pivotField axis="axisRow" compact="0" numFmtId="15" outline="0" showAll="0" defaultSubtotal="0">
      <items count="15">
        <item x="0"/>
        <item x="1"/>
        <item x="2"/>
        <item x="3"/>
        <item x="4"/>
        <item x="5"/>
        <item x="6"/>
        <item x="7"/>
        <item m="1" x="12"/>
        <item m="1" x="13"/>
        <item m="1" x="14"/>
        <item x="8"/>
        <item x="9"/>
        <item x="11"/>
        <item x="10"/>
      </items>
      <extLst>
        <ext xmlns:x14="http://schemas.microsoft.com/office/spreadsheetml/2009/9/main" uri="{2946ED86-A175-432a-8AC1-64E0C546D7DE}">
          <x14:pivotField fillDownLabels="1"/>
        </ext>
      </extLst>
    </pivotField>
    <pivotField axis="axisRow" compact="0" outline="0" showAll="0" defaultSubtotal="0">
      <items count="14">
        <item x="8"/>
        <item x="4"/>
        <item x="1"/>
        <item x="0"/>
        <item x="6"/>
        <item x="7"/>
        <item x="9"/>
        <item x="2"/>
        <item x="10"/>
        <item x="3"/>
        <item x="5"/>
        <item m="1" x="13"/>
        <item x="12"/>
        <item x="11"/>
      </items>
      <extLst>
        <ext xmlns:x14="http://schemas.microsoft.com/office/spreadsheetml/2009/9/main" uri="{2946ED86-A175-432a-8AC1-64E0C546D7DE}">
          <x14:pivotField fillDownLabels="1"/>
        </ext>
      </extLst>
    </pivotField>
    <pivotField axis="axisRow" compact="0" outline="0" showAll="0" defaultSubtotal="0">
      <items count="14">
        <item x="2"/>
        <item x="0"/>
        <item x="6"/>
        <item x="8"/>
        <item x="1"/>
        <item x="3"/>
        <item x="4"/>
        <item x="7"/>
        <item x="9"/>
        <item x="5"/>
        <item m="1" x="13"/>
        <item x="11"/>
        <item x="12"/>
        <item x="10"/>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ubtotalTop="0" dragToRow="0" dragToCol="0" dragToPage="0" showAll="0" defaultSubtotal="0">
      <extLst>
        <ext xmlns:x14="http://schemas.microsoft.com/office/spreadsheetml/2009/9/main" uri="{2946ED86-A175-432a-8AC1-64E0C546D7DE}">
          <x14:pivotField fillDownLabels="1"/>
        </ext>
      </extLst>
    </pivotField>
  </pivotFields>
  <rowFields count="3">
    <field x="0"/>
    <field x="2"/>
    <field x="1"/>
  </rowFields>
  <rowItems count="29">
    <i>
      <x/>
      <x v="1"/>
      <x v="3"/>
    </i>
    <i r="1">
      <x v="4"/>
      <x v="3"/>
    </i>
    <i>
      <x v="1"/>
      <x/>
      <x v="2"/>
    </i>
    <i r="1">
      <x v="1"/>
      <x v="2"/>
    </i>
    <i>
      <x v="2"/>
      <x v="5"/>
      <x v="7"/>
    </i>
    <i r="1">
      <x v="6"/>
      <x v="7"/>
    </i>
    <i>
      <x v="3"/>
      <x/>
      <x v="7"/>
    </i>
    <i r="1">
      <x v="5"/>
      <x v="7"/>
    </i>
    <i>
      <x v="4"/>
      <x v="1"/>
      <x v="9"/>
    </i>
    <i r="1">
      <x v="2"/>
      <x v="1"/>
    </i>
    <i r="1">
      <x v="5"/>
      <x v="1"/>
    </i>
    <i r="1">
      <x v="9"/>
      <x v="9"/>
    </i>
    <i>
      <x v="5"/>
      <x v="2"/>
      <x v="1"/>
    </i>
    <i r="1">
      <x v="5"/>
      <x v="1"/>
    </i>
    <i r="1">
      <x v="7"/>
      <x v="10"/>
    </i>
    <i r="1">
      <x v="9"/>
      <x v="10"/>
    </i>
    <i>
      <x v="6"/>
      <x/>
      <x v="4"/>
    </i>
    <i r="1">
      <x v="3"/>
      <x v="4"/>
    </i>
    <i>
      <x v="7"/>
      <x v="1"/>
      <x v="5"/>
    </i>
    <i r="1">
      <x v="8"/>
      <x v="5"/>
    </i>
    <i>
      <x v="11"/>
      <x v="1"/>
      <x v="6"/>
    </i>
    <i r="1">
      <x v="6"/>
      <x/>
    </i>
    <i>
      <x v="12"/>
      <x/>
      <x v="8"/>
    </i>
    <i r="1">
      <x v="7"/>
      <x v="8"/>
    </i>
    <i>
      <x v="13"/>
      <x v="11"/>
      <x v="12"/>
    </i>
    <i r="1">
      <x v="12"/>
      <x v="12"/>
    </i>
    <i>
      <x v="14"/>
      <x v="1"/>
      <x v="13"/>
    </i>
    <i r="1">
      <x v="13"/>
      <x v="13"/>
    </i>
    <i t="grand">
      <x/>
    </i>
  </rowItems>
  <colFields count="1">
    <field x="-2"/>
  </colFields>
  <colItems count="3">
    <i>
      <x/>
    </i>
    <i i="1">
      <x v="1"/>
    </i>
    <i i="2">
      <x v="2"/>
    </i>
  </colItems>
  <dataFields count="3">
    <dataField name="Sum of Debit" fld="3" baseField="2" baseItem="1" numFmtId="42"/>
    <dataField name="Sum of Credit" fld="4" baseField="2" baseItem="1" numFmtId="42"/>
    <dataField name="Sum of Balance" fld="6" baseField="2" baseItem="1" numFmtId="42"/>
  </dataFields>
  <formats count="48">
    <format dxfId="485">
      <pivotArea type="all" dataOnly="0" outline="0" fieldPosition="0"/>
    </format>
    <format dxfId="484">
      <pivotArea outline="0" collapsedLevelsAreSubtotals="1" fieldPosition="0"/>
    </format>
    <format dxfId="483">
      <pivotArea field="0" type="button" dataOnly="0" labelOnly="1" outline="0" axis="axisRow" fieldPosition="0"/>
    </format>
    <format dxfId="482">
      <pivotArea field="2" type="button" dataOnly="0" labelOnly="1" outline="0" axis="axisRow" fieldPosition="1"/>
    </format>
    <format dxfId="481">
      <pivotArea field="1" type="button" dataOnly="0" labelOnly="1" outline="0" axis="axisRow" fieldPosition="2"/>
    </format>
    <format dxfId="480">
      <pivotArea dataOnly="0" labelOnly="1" outline="0" fieldPosition="0">
        <references count="1">
          <reference field="0" count="0"/>
        </references>
      </pivotArea>
    </format>
    <format dxfId="479">
      <pivotArea dataOnly="0" labelOnly="1" grandRow="1" outline="0" fieldPosition="0"/>
    </format>
    <format dxfId="478">
      <pivotArea dataOnly="0" labelOnly="1" outline="0" fieldPosition="0">
        <references count="2">
          <reference field="0" count="1" selected="0">
            <x v="0"/>
          </reference>
          <reference field="2" count="2">
            <x v="1"/>
            <x v="4"/>
          </reference>
        </references>
      </pivotArea>
    </format>
    <format dxfId="477">
      <pivotArea dataOnly="0" labelOnly="1" outline="0" fieldPosition="0">
        <references count="2">
          <reference field="0" count="1" selected="0">
            <x v="1"/>
          </reference>
          <reference field="2" count="2">
            <x v="0"/>
            <x v="1"/>
          </reference>
        </references>
      </pivotArea>
    </format>
    <format dxfId="476">
      <pivotArea dataOnly="0" labelOnly="1" outline="0" fieldPosition="0">
        <references count="2">
          <reference field="0" count="1" selected="0">
            <x v="2"/>
          </reference>
          <reference field="2" count="2">
            <x v="5"/>
            <x v="6"/>
          </reference>
        </references>
      </pivotArea>
    </format>
    <format dxfId="475">
      <pivotArea dataOnly="0" labelOnly="1" outline="0" fieldPosition="0">
        <references count="2">
          <reference field="0" count="1" selected="0">
            <x v="3"/>
          </reference>
          <reference field="2" count="2">
            <x v="0"/>
            <x v="5"/>
          </reference>
        </references>
      </pivotArea>
    </format>
    <format dxfId="474">
      <pivotArea dataOnly="0" labelOnly="1" outline="0" fieldPosition="0">
        <references count="2">
          <reference field="0" count="1" selected="0">
            <x v="4"/>
          </reference>
          <reference field="2" count="4">
            <x v="1"/>
            <x v="2"/>
            <x v="5"/>
            <x v="9"/>
          </reference>
        </references>
      </pivotArea>
    </format>
    <format dxfId="473">
      <pivotArea dataOnly="0" labelOnly="1" outline="0" fieldPosition="0">
        <references count="2">
          <reference field="0" count="1" selected="0">
            <x v="5"/>
          </reference>
          <reference field="2" count="4">
            <x v="2"/>
            <x v="5"/>
            <x v="7"/>
            <x v="9"/>
          </reference>
        </references>
      </pivotArea>
    </format>
    <format dxfId="472">
      <pivotArea dataOnly="0" labelOnly="1" outline="0" fieldPosition="0">
        <references count="2">
          <reference field="0" count="1" selected="0">
            <x v="6"/>
          </reference>
          <reference field="2" count="2">
            <x v="0"/>
            <x v="3"/>
          </reference>
        </references>
      </pivotArea>
    </format>
    <format dxfId="471">
      <pivotArea dataOnly="0" labelOnly="1" outline="0" fieldPosition="0">
        <references count="2">
          <reference field="0" count="1" selected="0">
            <x v="7"/>
          </reference>
          <reference field="2" count="2">
            <x v="1"/>
            <x v="8"/>
          </reference>
        </references>
      </pivotArea>
    </format>
    <format dxfId="470">
      <pivotArea dataOnly="0" labelOnly="1" outline="0" fieldPosition="0">
        <references count="2">
          <reference field="0" count="1" selected="0">
            <x v="11"/>
          </reference>
          <reference field="2" count="2">
            <x v="1"/>
            <x v="6"/>
          </reference>
        </references>
      </pivotArea>
    </format>
    <format dxfId="469">
      <pivotArea dataOnly="0" labelOnly="1" outline="0" fieldPosition="0">
        <references count="2">
          <reference field="0" count="1" selected="0">
            <x v="12"/>
          </reference>
          <reference field="2" count="2">
            <x v="0"/>
            <x v="7"/>
          </reference>
        </references>
      </pivotArea>
    </format>
    <format dxfId="468">
      <pivotArea dataOnly="0" labelOnly="1" outline="0" fieldPosition="0">
        <references count="2">
          <reference field="0" count="1" selected="0">
            <x v="13"/>
          </reference>
          <reference field="2" count="2">
            <x v="11"/>
            <x v="12"/>
          </reference>
        </references>
      </pivotArea>
    </format>
    <format dxfId="467">
      <pivotArea dataOnly="0" labelOnly="1" outline="0" fieldPosition="0">
        <references count="2">
          <reference field="0" count="1" selected="0">
            <x v="14"/>
          </reference>
          <reference field="2" count="2">
            <x v="1"/>
            <x v="13"/>
          </reference>
        </references>
      </pivotArea>
    </format>
    <format dxfId="466">
      <pivotArea dataOnly="0" labelOnly="1" outline="0" fieldPosition="0">
        <references count="3">
          <reference field="0" count="1" selected="0">
            <x v="0"/>
          </reference>
          <reference field="1" count="1">
            <x v="3"/>
          </reference>
          <reference field="2" count="1" selected="0">
            <x v="1"/>
          </reference>
        </references>
      </pivotArea>
    </format>
    <format dxfId="465">
      <pivotArea dataOnly="0" labelOnly="1" outline="0" fieldPosition="0">
        <references count="3">
          <reference field="0" count="1" selected="0">
            <x v="0"/>
          </reference>
          <reference field="1" count="1">
            <x v="3"/>
          </reference>
          <reference field="2" count="1" selected="0">
            <x v="4"/>
          </reference>
        </references>
      </pivotArea>
    </format>
    <format dxfId="464">
      <pivotArea dataOnly="0" labelOnly="1" outline="0" fieldPosition="0">
        <references count="3">
          <reference field="0" count="1" selected="0">
            <x v="1"/>
          </reference>
          <reference field="1" count="1">
            <x v="2"/>
          </reference>
          <reference field="2" count="1" selected="0">
            <x v="0"/>
          </reference>
        </references>
      </pivotArea>
    </format>
    <format dxfId="463">
      <pivotArea dataOnly="0" labelOnly="1" outline="0" fieldPosition="0">
        <references count="3">
          <reference field="0" count="1" selected="0">
            <x v="1"/>
          </reference>
          <reference field="1" count="1">
            <x v="2"/>
          </reference>
          <reference field="2" count="1" selected="0">
            <x v="1"/>
          </reference>
        </references>
      </pivotArea>
    </format>
    <format dxfId="462">
      <pivotArea dataOnly="0" labelOnly="1" outline="0" fieldPosition="0">
        <references count="3">
          <reference field="0" count="1" selected="0">
            <x v="2"/>
          </reference>
          <reference field="1" count="1">
            <x v="7"/>
          </reference>
          <reference field="2" count="1" selected="0">
            <x v="5"/>
          </reference>
        </references>
      </pivotArea>
    </format>
    <format dxfId="461">
      <pivotArea dataOnly="0" labelOnly="1" outline="0" fieldPosition="0">
        <references count="3">
          <reference field="0" count="1" selected="0">
            <x v="2"/>
          </reference>
          <reference field="1" count="1">
            <x v="7"/>
          </reference>
          <reference field="2" count="1" selected="0">
            <x v="6"/>
          </reference>
        </references>
      </pivotArea>
    </format>
    <format dxfId="460">
      <pivotArea dataOnly="0" labelOnly="1" outline="0" fieldPosition="0">
        <references count="3">
          <reference field="0" count="1" selected="0">
            <x v="3"/>
          </reference>
          <reference field="1" count="1">
            <x v="7"/>
          </reference>
          <reference field="2" count="1" selected="0">
            <x v="0"/>
          </reference>
        </references>
      </pivotArea>
    </format>
    <format dxfId="459">
      <pivotArea dataOnly="0" labelOnly="1" outline="0" fieldPosition="0">
        <references count="3">
          <reference field="0" count="1" selected="0">
            <x v="3"/>
          </reference>
          <reference field="1" count="1">
            <x v="7"/>
          </reference>
          <reference field="2" count="1" selected="0">
            <x v="5"/>
          </reference>
        </references>
      </pivotArea>
    </format>
    <format dxfId="458">
      <pivotArea dataOnly="0" labelOnly="1" outline="0" fieldPosition="0">
        <references count="3">
          <reference field="0" count="1" selected="0">
            <x v="4"/>
          </reference>
          <reference field="1" count="1">
            <x v="9"/>
          </reference>
          <reference field="2" count="1" selected="0">
            <x v="1"/>
          </reference>
        </references>
      </pivotArea>
    </format>
    <format dxfId="457">
      <pivotArea dataOnly="0" labelOnly="1" outline="0" fieldPosition="0">
        <references count="3">
          <reference field="0" count="1" selected="0">
            <x v="4"/>
          </reference>
          <reference field="1" count="1">
            <x v="1"/>
          </reference>
          <reference field="2" count="1" selected="0">
            <x v="2"/>
          </reference>
        </references>
      </pivotArea>
    </format>
    <format dxfId="456">
      <pivotArea dataOnly="0" labelOnly="1" outline="0" fieldPosition="0">
        <references count="3">
          <reference field="0" count="1" selected="0">
            <x v="4"/>
          </reference>
          <reference field="1" count="1">
            <x v="1"/>
          </reference>
          <reference field="2" count="1" selected="0">
            <x v="5"/>
          </reference>
        </references>
      </pivotArea>
    </format>
    <format dxfId="455">
      <pivotArea dataOnly="0" labelOnly="1" outline="0" fieldPosition="0">
        <references count="3">
          <reference field="0" count="1" selected="0">
            <x v="4"/>
          </reference>
          <reference field="1" count="1">
            <x v="9"/>
          </reference>
          <reference field="2" count="1" selected="0">
            <x v="9"/>
          </reference>
        </references>
      </pivotArea>
    </format>
    <format dxfId="454">
      <pivotArea dataOnly="0" labelOnly="1" outline="0" fieldPosition="0">
        <references count="3">
          <reference field="0" count="1" selected="0">
            <x v="5"/>
          </reference>
          <reference field="1" count="1">
            <x v="1"/>
          </reference>
          <reference field="2" count="1" selected="0">
            <x v="2"/>
          </reference>
        </references>
      </pivotArea>
    </format>
    <format dxfId="453">
      <pivotArea dataOnly="0" labelOnly="1" outline="0" fieldPosition="0">
        <references count="3">
          <reference field="0" count="1" selected="0">
            <x v="5"/>
          </reference>
          <reference field="1" count="1">
            <x v="1"/>
          </reference>
          <reference field="2" count="1" selected="0">
            <x v="5"/>
          </reference>
        </references>
      </pivotArea>
    </format>
    <format dxfId="452">
      <pivotArea dataOnly="0" labelOnly="1" outline="0" fieldPosition="0">
        <references count="3">
          <reference field="0" count="1" selected="0">
            <x v="5"/>
          </reference>
          <reference field="1" count="1">
            <x v="10"/>
          </reference>
          <reference field="2" count="1" selected="0">
            <x v="7"/>
          </reference>
        </references>
      </pivotArea>
    </format>
    <format dxfId="451">
      <pivotArea dataOnly="0" labelOnly="1" outline="0" fieldPosition="0">
        <references count="3">
          <reference field="0" count="1" selected="0">
            <x v="5"/>
          </reference>
          <reference field="1" count="1">
            <x v="10"/>
          </reference>
          <reference field="2" count="1" selected="0">
            <x v="9"/>
          </reference>
        </references>
      </pivotArea>
    </format>
    <format dxfId="450">
      <pivotArea dataOnly="0" labelOnly="1" outline="0" fieldPosition="0">
        <references count="3">
          <reference field="0" count="1" selected="0">
            <x v="6"/>
          </reference>
          <reference field="1" count="1">
            <x v="4"/>
          </reference>
          <reference field="2" count="1" selected="0">
            <x v="0"/>
          </reference>
        </references>
      </pivotArea>
    </format>
    <format dxfId="449">
      <pivotArea dataOnly="0" labelOnly="1" outline="0" fieldPosition="0">
        <references count="3">
          <reference field="0" count="1" selected="0">
            <x v="6"/>
          </reference>
          <reference field="1" count="1">
            <x v="4"/>
          </reference>
          <reference field="2" count="1" selected="0">
            <x v="3"/>
          </reference>
        </references>
      </pivotArea>
    </format>
    <format dxfId="448">
      <pivotArea dataOnly="0" labelOnly="1" outline="0" fieldPosition="0">
        <references count="3">
          <reference field="0" count="1" selected="0">
            <x v="7"/>
          </reference>
          <reference field="1" count="1">
            <x v="5"/>
          </reference>
          <reference field="2" count="1" selected="0">
            <x v="1"/>
          </reference>
        </references>
      </pivotArea>
    </format>
    <format dxfId="447">
      <pivotArea dataOnly="0" labelOnly="1" outline="0" fieldPosition="0">
        <references count="3">
          <reference field="0" count="1" selected="0">
            <x v="7"/>
          </reference>
          <reference field="1" count="1">
            <x v="5"/>
          </reference>
          <reference field="2" count="1" selected="0">
            <x v="8"/>
          </reference>
        </references>
      </pivotArea>
    </format>
    <format dxfId="446">
      <pivotArea dataOnly="0" labelOnly="1" outline="0" fieldPosition="0">
        <references count="3">
          <reference field="0" count="1" selected="0">
            <x v="11"/>
          </reference>
          <reference field="1" count="1">
            <x v="6"/>
          </reference>
          <reference field="2" count="1" selected="0">
            <x v="1"/>
          </reference>
        </references>
      </pivotArea>
    </format>
    <format dxfId="445">
      <pivotArea dataOnly="0" labelOnly="1" outline="0" fieldPosition="0">
        <references count="3">
          <reference field="0" count="1" selected="0">
            <x v="11"/>
          </reference>
          <reference field="1" count="1">
            <x v="0"/>
          </reference>
          <reference field="2" count="1" selected="0">
            <x v="6"/>
          </reference>
        </references>
      </pivotArea>
    </format>
    <format dxfId="444">
      <pivotArea dataOnly="0" labelOnly="1" outline="0" fieldPosition="0">
        <references count="3">
          <reference field="0" count="1" selected="0">
            <x v="12"/>
          </reference>
          <reference field="1" count="1">
            <x v="8"/>
          </reference>
          <reference field="2" count="1" selected="0">
            <x v="0"/>
          </reference>
        </references>
      </pivotArea>
    </format>
    <format dxfId="443">
      <pivotArea dataOnly="0" labelOnly="1" outline="0" fieldPosition="0">
        <references count="3">
          <reference field="0" count="1" selected="0">
            <x v="12"/>
          </reference>
          <reference field="1" count="1">
            <x v="8"/>
          </reference>
          <reference field="2" count="1" selected="0">
            <x v="7"/>
          </reference>
        </references>
      </pivotArea>
    </format>
    <format dxfId="442">
      <pivotArea dataOnly="0" labelOnly="1" outline="0" fieldPosition="0">
        <references count="3">
          <reference field="0" count="1" selected="0">
            <x v="13"/>
          </reference>
          <reference field="1" count="1">
            <x v="12"/>
          </reference>
          <reference field="2" count="1" selected="0">
            <x v="11"/>
          </reference>
        </references>
      </pivotArea>
    </format>
    <format dxfId="441">
      <pivotArea dataOnly="0" labelOnly="1" outline="0" fieldPosition="0">
        <references count="3">
          <reference field="0" count="1" selected="0">
            <x v="13"/>
          </reference>
          <reference field="1" count="1">
            <x v="12"/>
          </reference>
          <reference field="2" count="1" selected="0">
            <x v="12"/>
          </reference>
        </references>
      </pivotArea>
    </format>
    <format dxfId="440">
      <pivotArea dataOnly="0" labelOnly="1" outline="0" fieldPosition="0">
        <references count="3">
          <reference field="0" count="1" selected="0">
            <x v="14"/>
          </reference>
          <reference field="1" count="1">
            <x v="13"/>
          </reference>
          <reference field="2" count="1" selected="0">
            <x v="1"/>
          </reference>
        </references>
      </pivotArea>
    </format>
    <format dxfId="439">
      <pivotArea dataOnly="0" labelOnly="1" outline="0" fieldPosition="0">
        <references count="3">
          <reference field="0" count="1" selected="0">
            <x v="14"/>
          </reference>
          <reference field="1" count="1">
            <x v="13"/>
          </reference>
          <reference field="2" count="1" selected="0">
            <x v="13"/>
          </reference>
        </references>
      </pivotArea>
    </format>
    <format dxfId="438">
      <pivotArea dataOnly="0" labelOnly="1" outline="0" fieldPosition="0">
        <references count="1">
          <reference field="4294967294" count="3">
            <x v="0"/>
            <x v="1"/>
            <x v="2"/>
          </reference>
        </references>
      </pivotArea>
    </format>
  </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ED677B-C7BF-43C5-851B-4BE14D4E8365}" name="PivotTable1"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B4:E18" firstHeaderRow="0" firstDataRow="1" firstDataCol="1"/>
  <pivotFields count="7">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4">
        <item x="2"/>
        <item x="0"/>
        <item x="6"/>
        <item x="8"/>
        <item x="1"/>
        <item x="3"/>
        <item x="4"/>
        <item x="7"/>
        <item x="9"/>
        <item x="5"/>
        <item m="1" x="13"/>
        <item x="11"/>
        <item x="12"/>
        <item x="10"/>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ubtotalTop="0" dragToRow="0" dragToCol="0" dragToPage="0" showAll="0" defaultSubtotal="0">
      <extLst>
        <ext xmlns:x14="http://schemas.microsoft.com/office/spreadsheetml/2009/9/main" uri="{2946ED86-A175-432a-8AC1-64E0C546D7DE}">
          <x14:pivotField fillDownLabels="1"/>
        </ext>
      </extLst>
    </pivotField>
  </pivotFields>
  <rowFields count="1">
    <field x="2"/>
  </rowFields>
  <rowItems count="14">
    <i>
      <x/>
    </i>
    <i>
      <x v="1"/>
    </i>
    <i>
      <x v="2"/>
    </i>
    <i>
      <x v="3"/>
    </i>
    <i>
      <x v="4"/>
    </i>
    <i>
      <x v="5"/>
    </i>
    <i>
      <x v="6"/>
    </i>
    <i>
      <x v="7"/>
    </i>
    <i>
      <x v="8"/>
    </i>
    <i>
      <x v="9"/>
    </i>
    <i>
      <x v="11"/>
    </i>
    <i>
      <x v="12"/>
    </i>
    <i>
      <x v="13"/>
    </i>
    <i t="grand">
      <x/>
    </i>
  </rowItems>
  <colFields count="1">
    <field x="-2"/>
  </colFields>
  <colItems count="3">
    <i>
      <x/>
    </i>
    <i i="1">
      <x v="1"/>
    </i>
    <i i="2">
      <x v="2"/>
    </i>
  </colItems>
  <dataFields count="3">
    <dataField name="Sum of Debit" fld="3" baseField="2" baseItem="1" numFmtId="42"/>
    <dataField name="Sum of Credit" fld="4" baseField="2" baseItem="1" numFmtId="42"/>
    <dataField name="Sum of Balance" fld="6" baseField="2" baseItem="1" numFmtId="42"/>
  </dataFields>
  <formats count="6">
    <format dxfId="437">
      <pivotArea type="all" dataOnly="0" outline="0" fieldPosition="0"/>
    </format>
    <format dxfId="436">
      <pivotArea outline="0" collapsedLevelsAreSubtotals="1" fieldPosition="0"/>
    </format>
    <format dxfId="435">
      <pivotArea field="2" type="button" dataOnly="0" labelOnly="1" outline="0" axis="axisRow" fieldPosition="0"/>
    </format>
    <format dxfId="434">
      <pivotArea dataOnly="0" labelOnly="1" outline="0" fieldPosition="0">
        <references count="1">
          <reference field="2" count="0"/>
        </references>
      </pivotArea>
    </format>
    <format dxfId="433">
      <pivotArea dataOnly="0" labelOnly="1" grandRow="1" outline="0" fieldPosition="0"/>
    </format>
    <format dxfId="432">
      <pivotArea dataOnly="0" labelOnly="1" outline="0" fieldPosition="0">
        <references count="1">
          <reference field="4294967294" count="3">
            <x v="0"/>
            <x v="1"/>
            <x v="2"/>
          </reference>
        </references>
      </pivotArea>
    </format>
  </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 xr10:uid="{904E7C7F-0004-4B45-8321-BCD56900F6D5}" sourceName="Account">
  <pivotTables>
    <pivotTable tabId="3" name="PivotTable1"/>
  </pivotTables>
  <data>
    <tabular pivotCacheId="1547703488">
      <items count="14">
        <i x="2" s="1"/>
        <i x="0" s="1"/>
        <i x="6" s="1"/>
        <i x="8" s="1"/>
        <i x="1" s="1"/>
        <i x="12" s="1"/>
        <i x="3" s="1"/>
        <i x="4" s="1"/>
        <i x="7" s="1"/>
        <i x="9" s="1"/>
        <i x="5" s="1"/>
        <i x="10" s="1"/>
        <i x="11" s="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xr10:uid="{F3EF8820-73E1-4229-941D-23EB317F0AC1}" cache="Slicer_Account" caption="Account"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7A7981-DF40-446B-8761-B01D3B1342E8}" name="Journal_Table" displayName="Journal_Table" ref="B2:G30" totalsRowShown="0">
  <autoFilter ref="B2:G30" xr:uid="{BD7A7981-DF40-446B-8761-B01D3B1342E8}"/>
  <tableColumns count="6">
    <tableColumn id="1" xr3:uid="{5B36C6EA-47DD-4BDB-B64E-4ECE8F2F6D3E}" name="Date "/>
    <tableColumn id="2" xr3:uid="{A10E39AA-576D-44C6-B107-22A79EF864BA}" name="Description "/>
    <tableColumn id="3" xr3:uid="{16B355F6-88E2-4111-B4BB-9C82581ADB64}" name="Account"/>
    <tableColumn id="4" xr3:uid="{9AE3CBE1-0AD5-42E5-B855-81573B2139F8}" name="Debit" dataDxfId="487" dataCellStyle="Comma"/>
    <tableColumn id="5" xr3:uid="{5CC9DD9B-D529-4DDD-B48A-E59324DD073A}" name="Credit" dataDxfId="486" dataCellStyle="Comma"/>
    <tableColumn id="6" xr3:uid="{5F3597EA-D60D-4095-87C6-3AB35BBC95BC}" name="Comments"/>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02ED0-EA52-4A48-9C85-4D719ED9CF66}">
  <dimension ref="A1:H14"/>
  <sheetViews>
    <sheetView workbookViewId="0">
      <selection activeCell="H14" sqref="H14"/>
    </sheetView>
  </sheetViews>
  <sheetFormatPr defaultRowHeight="15" x14ac:dyDescent="0.25"/>
  <cols>
    <col min="1" max="1" width="9.5703125" bestFit="1" customWidth="1"/>
    <col min="2" max="2" width="9.5703125" customWidth="1"/>
    <col min="4" max="4" width="16.5703125" bestFit="1" customWidth="1"/>
    <col min="5" max="5" width="18.7109375" bestFit="1" customWidth="1"/>
    <col min="7" max="7" width="18.7109375" bestFit="1" customWidth="1"/>
    <col min="8" max="8" width="16.5703125" bestFit="1" customWidth="1"/>
  </cols>
  <sheetData>
    <row r="1" spans="1:8" x14ac:dyDescent="0.25">
      <c r="A1" s="2" t="s">
        <v>16</v>
      </c>
      <c r="B1" s="2"/>
      <c r="C1" s="2" t="s">
        <v>16</v>
      </c>
      <c r="D1" s="2" t="s">
        <v>17</v>
      </c>
      <c r="E1" s="2" t="s">
        <v>48</v>
      </c>
      <c r="F1" s="2"/>
      <c r="G1" s="2" t="s">
        <v>18</v>
      </c>
      <c r="H1" s="2" t="s">
        <v>17</v>
      </c>
    </row>
    <row r="2" spans="1:8" x14ac:dyDescent="0.25">
      <c r="A2" t="s">
        <v>6</v>
      </c>
      <c r="C2" t="s">
        <v>6</v>
      </c>
      <c r="D2" t="s">
        <v>12</v>
      </c>
      <c r="E2" t="s">
        <v>49</v>
      </c>
      <c r="G2" t="s">
        <v>20</v>
      </c>
      <c r="H2" t="s">
        <v>12</v>
      </c>
    </row>
    <row r="3" spans="1:8" x14ac:dyDescent="0.25">
      <c r="A3" t="s">
        <v>7</v>
      </c>
      <c r="C3" t="s">
        <v>6</v>
      </c>
      <c r="D3" t="s">
        <v>13</v>
      </c>
      <c r="E3" t="s">
        <v>49</v>
      </c>
      <c r="G3" t="s">
        <v>21</v>
      </c>
      <c r="H3" t="s">
        <v>8</v>
      </c>
    </row>
    <row r="4" spans="1:8" x14ac:dyDescent="0.25">
      <c r="A4" t="s">
        <v>8</v>
      </c>
      <c r="C4" t="s">
        <v>7</v>
      </c>
      <c r="D4" t="s">
        <v>14</v>
      </c>
      <c r="E4" t="s">
        <v>49</v>
      </c>
      <c r="G4" t="s">
        <v>22</v>
      </c>
      <c r="H4" t="s">
        <v>12</v>
      </c>
    </row>
    <row r="5" spans="1:8" x14ac:dyDescent="0.25">
      <c r="A5" t="s">
        <v>9</v>
      </c>
      <c r="C5" t="s">
        <v>7</v>
      </c>
      <c r="D5" t="s">
        <v>15</v>
      </c>
      <c r="E5" t="s">
        <v>49</v>
      </c>
      <c r="G5" t="s">
        <v>25</v>
      </c>
      <c r="H5" t="s">
        <v>12</v>
      </c>
    </row>
    <row r="6" spans="1:8" x14ac:dyDescent="0.25">
      <c r="A6" t="s">
        <v>10</v>
      </c>
      <c r="C6" t="s">
        <v>8</v>
      </c>
      <c r="D6" t="s">
        <v>8</v>
      </c>
      <c r="E6" t="s">
        <v>49</v>
      </c>
      <c r="G6" t="s">
        <v>26</v>
      </c>
      <c r="H6" t="s">
        <v>14</v>
      </c>
    </row>
    <row r="7" spans="1:8" x14ac:dyDescent="0.25">
      <c r="C7" t="s">
        <v>9</v>
      </c>
      <c r="D7" t="s">
        <v>9</v>
      </c>
      <c r="E7" t="s">
        <v>50</v>
      </c>
      <c r="G7" t="s">
        <v>28</v>
      </c>
      <c r="H7" t="s">
        <v>10</v>
      </c>
    </row>
    <row r="8" spans="1:8" x14ac:dyDescent="0.25">
      <c r="C8" t="s">
        <v>10</v>
      </c>
      <c r="D8" t="s">
        <v>10</v>
      </c>
      <c r="E8" t="s">
        <v>50</v>
      </c>
      <c r="G8" t="s">
        <v>30</v>
      </c>
      <c r="H8" t="s">
        <v>9</v>
      </c>
    </row>
    <row r="9" spans="1:8" x14ac:dyDescent="0.25">
      <c r="C9" t="s">
        <v>10</v>
      </c>
      <c r="D9" t="s">
        <v>11</v>
      </c>
      <c r="E9" t="s">
        <v>50</v>
      </c>
      <c r="G9" t="s">
        <v>32</v>
      </c>
      <c r="H9" t="s">
        <v>12</v>
      </c>
    </row>
    <row r="10" spans="1:8" x14ac:dyDescent="0.25">
      <c r="G10" t="s">
        <v>34</v>
      </c>
      <c r="H10" t="s">
        <v>9</v>
      </c>
    </row>
    <row r="11" spans="1:8" x14ac:dyDescent="0.25">
      <c r="G11" t="s">
        <v>36</v>
      </c>
      <c r="H11" t="s">
        <v>9</v>
      </c>
    </row>
    <row r="12" spans="1:8" x14ac:dyDescent="0.25">
      <c r="G12" t="s">
        <v>57</v>
      </c>
      <c r="H12" t="s">
        <v>9</v>
      </c>
    </row>
    <row r="13" spans="1:8" x14ac:dyDescent="0.25">
      <c r="G13" t="s">
        <v>58</v>
      </c>
      <c r="H13" t="s">
        <v>14</v>
      </c>
    </row>
    <row r="14" spans="1:8" x14ac:dyDescent="0.25">
      <c r="G14" t="s">
        <v>64</v>
      </c>
      <c r="H14"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0CF44-3DA7-43BE-8392-A14CC7902C88}">
  <dimension ref="B2:G30"/>
  <sheetViews>
    <sheetView showGridLines="0" workbookViewId="0">
      <selection activeCell="J10" sqref="J10"/>
    </sheetView>
  </sheetViews>
  <sheetFormatPr defaultRowHeight="15" x14ac:dyDescent="0.25"/>
  <cols>
    <col min="2" max="2" width="9.85546875" bestFit="1" customWidth="1"/>
    <col min="3" max="3" width="27.85546875" bestFit="1" customWidth="1"/>
    <col min="4" max="4" width="17.7109375" bestFit="1" customWidth="1"/>
    <col min="5" max="6" width="14.28515625" style="4" bestFit="1" customWidth="1"/>
    <col min="7" max="7" width="30.7109375" bestFit="1" customWidth="1"/>
  </cols>
  <sheetData>
    <row r="2" spans="2:7" x14ac:dyDescent="0.25">
      <c r="B2" t="s">
        <v>0</v>
      </c>
      <c r="C2" t="s">
        <v>1</v>
      </c>
      <c r="D2" t="s">
        <v>2</v>
      </c>
      <c r="E2" s="4" t="s">
        <v>3</v>
      </c>
      <c r="F2" s="4" t="s">
        <v>4</v>
      </c>
      <c r="G2" t="s">
        <v>5</v>
      </c>
    </row>
    <row r="3" spans="2:7" x14ac:dyDescent="0.25">
      <c r="B3" s="1">
        <v>44927</v>
      </c>
      <c r="C3" t="s">
        <v>19</v>
      </c>
      <c r="D3" t="s">
        <v>20</v>
      </c>
      <c r="E3" s="4">
        <v>1000000</v>
      </c>
    </row>
    <row r="4" spans="2:7" x14ac:dyDescent="0.25">
      <c r="B4" s="1">
        <v>44927</v>
      </c>
      <c r="C4" t="s">
        <v>19</v>
      </c>
      <c r="D4" t="s">
        <v>21</v>
      </c>
      <c r="F4" s="4">
        <v>1000000</v>
      </c>
    </row>
    <row r="5" spans="2:7" x14ac:dyDescent="0.25">
      <c r="B5" s="1">
        <v>44928</v>
      </c>
      <c r="C5" t="s">
        <v>23</v>
      </c>
      <c r="D5" t="s">
        <v>22</v>
      </c>
      <c r="E5" s="4">
        <v>500000</v>
      </c>
      <c r="G5" t="s">
        <v>24</v>
      </c>
    </row>
    <row r="6" spans="2:7" x14ac:dyDescent="0.25">
      <c r="B6" s="1">
        <v>44928</v>
      </c>
      <c r="C6" t="s">
        <v>23</v>
      </c>
      <c r="D6" t="s">
        <v>20</v>
      </c>
      <c r="F6" s="4">
        <v>500000</v>
      </c>
      <c r="G6" t="s">
        <v>24</v>
      </c>
    </row>
    <row r="7" spans="2:7" x14ac:dyDescent="0.25">
      <c r="B7" s="1">
        <v>44929</v>
      </c>
      <c r="C7" t="s">
        <v>27</v>
      </c>
      <c r="D7" t="s">
        <v>25</v>
      </c>
      <c r="E7" s="4">
        <v>600000</v>
      </c>
    </row>
    <row r="8" spans="2:7" x14ac:dyDescent="0.25">
      <c r="B8" s="1">
        <v>44929</v>
      </c>
      <c r="C8" t="s">
        <v>27</v>
      </c>
      <c r="D8" t="s">
        <v>26</v>
      </c>
      <c r="F8" s="4">
        <v>600000</v>
      </c>
    </row>
    <row r="9" spans="2:7" x14ac:dyDescent="0.25">
      <c r="B9" s="1">
        <v>44930</v>
      </c>
      <c r="C9" t="s">
        <v>27</v>
      </c>
      <c r="D9" t="s">
        <v>25</v>
      </c>
      <c r="E9" s="4">
        <v>200000</v>
      </c>
    </row>
    <row r="10" spans="2:7" x14ac:dyDescent="0.25">
      <c r="B10" s="1">
        <v>44930</v>
      </c>
      <c r="C10" t="s">
        <v>27</v>
      </c>
      <c r="D10" t="s">
        <v>22</v>
      </c>
      <c r="F10" s="4">
        <v>200000</v>
      </c>
    </row>
    <row r="11" spans="2:7" x14ac:dyDescent="0.25">
      <c r="B11" s="1">
        <v>44936</v>
      </c>
      <c r="C11" t="s">
        <v>29</v>
      </c>
      <c r="D11" t="s">
        <v>20</v>
      </c>
      <c r="E11" s="4">
        <v>400000</v>
      </c>
    </row>
    <row r="12" spans="2:7" x14ac:dyDescent="0.25">
      <c r="B12" s="1">
        <v>44936</v>
      </c>
      <c r="C12" t="s">
        <v>29</v>
      </c>
      <c r="D12" t="s">
        <v>28</v>
      </c>
      <c r="F12" s="4">
        <v>400000</v>
      </c>
    </row>
    <row r="13" spans="2:7" x14ac:dyDescent="0.25">
      <c r="B13" s="1">
        <v>44936</v>
      </c>
      <c r="C13" t="s">
        <v>31</v>
      </c>
      <c r="D13" t="s">
        <v>30</v>
      </c>
      <c r="E13" s="4">
        <v>300000</v>
      </c>
    </row>
    <row r="14" spans="2:7" x14ac:dyDescent="0.25">
      <c r="B14" s="1">
        <v>44936</v>
      </c>
      <c r="C14" t="s">
        <v>31</v>
      </c>
      <c r="D14" t="s">
        <v>25</v>
      </c>
      <c r="F14" s="4">
        <v>300000</v>
      </c>
    </row>
    <row r="15" spans="2:7" x14ac:dyDescent="0.25">
      <c r="B15" s="1">
        <v>44941</v>
      </c>
      <c r="C15" t="s">
        <v>33</v>
      </c>
      <c r="D15" t="s">
        <v>32</v>
      </c>
      <c r="E15" s="4">
        <v>300000</v>
      </c>
    </row>
    <row r="16" spans="2:7" x14ac:dyDescent="0.25">
      <c r="B16" s="1">
        <v>44941</v>
      </c>
      <c r="C16" t="s">
        <v>33</v>
      </c>
      <c r="D16" t="s">
        <v>28</v>
      </c>
      <c r="F16" s="4">
        <v>300000</v>
      </c>
    </row>
    <row r="17" spans="2:6" x14ac:dyDescent="0.25">
      <c r="B17" s="1">
        <v>44941</v>
      </c>
      <c r="C17" t="s">
        <v>31</v>
      </c>
      <c r="D17" t="s">
        <v>30</v>
      </c>
      <c r="E17" s="4">
        <v>150000</v>
      </c>
    </row>
    <row r="18" spans="2:6" x14ac:dyDescent="0.25">
      <c r="B18" s="1">
        <v>44941</v>
      </c>
      <c r="C18" t="s">
        <v>31</v>
      </c>
      <c r="D18" t="s">
        <v>25</v>
      </c>
      <c r="F18" s="4">
        <v>150000</v>
      </c>
    </row>
    <row r="19" spans="2:6" x14ac:dyDescent="0.25">
      <c r="B19" s="1">
        <v>44944</v>
      </c>
      <c r="C19" t="s">
        <v>35</v>
      </c>
      <c r="D19" t="s">
        <v>34</v>
      </c>
      <c r="E19" s="4">
        <v>15000</v>
      </c>
    </row>
    <row r="20" spans="2:6" x14ac:dyDescent="0.25">
      <c r="B20" s="1">
        <v>44944</v>
      </c>
      <c r="C20" t="s">
        <v>35</v>
      </c>
      <c r="D20" t="s">
        <v>22</v>
      </c>
      <c r="F20" s="4">
        <v>15000</v>
      </c>
    </row>
    <row r="21" spans="2:6" x14ac:dyDescent="0.25">
      <c r="B21" s="1">
        <v>44956</v>
      </c>
      <c r="C21" t="s">
        <v>37</v>
      </c>
      <c r="D21" t="s">
        <v>36</v>
      </c>
      <c r="E21" s="4">
        <v>100000</v>
      </c>
    </row>
    <row r="22" spans="2:6" x14ac:dyDescent="0.25">
      <c r="B22" s="1">
        <v>44956</v>
      </c>
      <c r="C22" t="s">
        <v>37</v>
      </c>
      <c r="D22" t="s">
        <v>20</v>
      </c>
      <c r="F22" s="4">
        <v>100000</v>
      </c>
    </row>
    <row r="23" spans="2:6" x14ac:dyDescent="0.25">
      <c r="B23" s="1">
        <v>44959</v>
      </c>
      <c r="C23" t="s">
        <v>38</v>
      </c>
      <c r="D23" t="s">
        <v>26</v>
      </c>
      <c r="E23" s="4">
        <v>100000</v>
      </c>
    </row>
    <row r="24" spans="2:6" x14ac:dyDescent="0.25">
      <c r="B24" s="1">
        <v>44959</v>
      </c>
      <c r="C24" t="s">
        <v>39</v>
      </c>
      <c r="D24" t="s">
        <v>20</v>
      </c>
      <c r="F24" s="4">
        <v>100000</v>
      </c>
    </row>
    <row r="25" spans="2:6" x14ac:dyDescent="0.25">
      <c r="B25" s="1">
        <v>44962</v>
      </c>
      <c r="C25" t="s">
        <v>40</v>
      </c>
      <c r="D25" t="s">
        <v>22</v>
      </c>
      <c r="E25" s="4">
        <v>150000</v>
      </c>
    </row>
    <row r="26" spans="2:6" x14ac:dyDescent="0.25">
      <c r="B26" s="1">
        <v>44962</v>
      </c>
      <c r="C26" t="s">
        <v>40</v>
      </c>
      <c r="D26" t="s">
        <v>32</v>
      </c>
      <c r="F26" s="4">
        <v>150000</v>
      </c>
    </row>
    <row r="27" spans="2:6" x14ac:dyDescent="0.25">
      <c r="B27" s="1">
        <v>44967</v>
      </c>
      <c r="C27" t="s">
        <v>65</v>
      </c>
      <c r="D27" t="s">
        <v>64</v>
      </c>
      <c r="E27" s="4">
        <v>100000</v>
      </c>
    </row>
    <row r="28" spans="2:6" x14ac:dyDescent="0.25">
      <c r="B28" s="1">
        <v>44967</v>
      </c>
      <c r="C28" t="s">
        <v>65</v>
      </c>
      <c r="D28" t="s">
        <v>20</v>
      </c>
      <c r="F28" s="4">
        <v>100000</v>
      </c>
    </row>
    <row r="29" spans="2:6" x14ac:dyDescent="0.25">
      <c r="B29" s="1">
        <v>45015</v>
      </c>
      <c r="C29" t="s">
        <v>59</v>
      </c>
      <c r="D29" t="s">
        <v>57</v>
      </c>
      <c r="E29" s="4">
        <v>20250</v>
      </c>
    </row>
    <row r="30" spans="2:6" x14ac:dyDescent="0.25">
      <c r="B30" s="1">
        <v>45015</v>
      </c>
      <c r="C30" t="s">
        <v>59</v>
      </c>
      <c r="D30" t="s">
        <v>58</v>
      </c>
      <c r="F30" s="4">
        <v>20250</v>
      </c>
    </row>
  </sheetData>
  <phoneticPr fontId="1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2141DAC3-4734-4DA0-BFC6-73A56C5004D3}">
          <x14:formula1>
            <xm:f>'Charts of Accounts'!$G$2:$G$236</xm:f>
          </x14:formula1>
          <xm:sqref>D1:D1048576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FBBC6-91A4-46CC-9722-8261EF1AF82A}">
  <dimension ref="B2:K34"/>
  <sheetViews>
    <sheetView showGridLines="0" zoomScale="90" workbookViewId="0">
      <selection activeCell="I20" sqref="I20"/>
    </sheetView>
  </sheetViews>
  <sheetFormatPr defaultRowHeight="15" x14ac:dyDescent="0.25"/>
  <cols>
    <col min="2" max="2" width="45.28515625" bestFit="1" customWidth="1"/>
    <col min="3" max="3" width="17.7109375" bestFit="1" customWidth="1"/>
    <col min="4" max="4" width="30.28515625" customWidth="1"/>
    <col min="5" max="5" width="13.5703125" bestFit="1" customWidth="1"/>
    <col min="6" max="7" width="14.85546875" bestFit="1" customWidth="1"/>
  </cols>
  <sheetData>
    <row r="2" spans="2:11" ht="15.75" thickBot="1" x14ac:dyDescent="0.3"/>
    <row r="3" spans="2:11" ht="47.25" thickBot="1" x14ac:dyDescent="0.75">
      <c r="B3" s="36" t="str">
        <f>C5</f>
        <v>Cash</v>
      </c>
      <c r="C3" s="33"/>
      <c r="D3" s="37" t="str">
        <f>VLOOKUP(Ledger!B3,'Charts of Accounts'!G:H,2,0)</f>
        <v>Current Assets</v>
      </c>
      <c r="E3" s="33"/>
      <c r="F3" s="33"/>
      <c r="G3" s="33"/>
      <c r="H3" s="33"/>
      <c r="I3" s="33"/>
      <c r="J3" s="33"/>
      <c r="K3" s="18"/>
    </row>
    <row r="4" spans="2:11" ht="15.75" thickBot="1" x14ac:dyDescent="0.3">
      <c r="B4" s="62" t="s">
        <v>0</v>
      </c>
      <c r="C4" s="62" t="s">
        <v>2</v>
      </c>
      <c r="D4" s="62" t="s">
        <v>1</v>
      </c>
      <c r="E4" s="70" t="s">
        <v>42</v>
      </c>
      <c r="F4" s="67" t="s">
        <v>43</v>
      </c>
      <c r="G4" s="68" t="s">
        <v>44</v>
      </c>
      <c r="K4" s="8"/>
    </row>
    <row r="5" spans="2:11" ht="15.75" thickBot="1" x14ac:dyDescent="0.3">
      <c r="B5" s="63">
        <v>44927</v>
      </c>
      <c r="C5" s="71" t="s">
        <v>20</v>
      </c>
      <c r="D5" s="69" t="s">
        <v>19</v>
      </c>
      <c r="E5" s="57">
        <v>1000000</v>
      </c>
      <c r="F5" s="58"/>
      <c r="G5" s="59">
        <v>1000000</v>
      </c>
      <c r="K5" s="8"/>
    </row>
    <row r="6" spans="2:11" ht="15.75" thickBot="1" x14ac:dyDescent="0.3">
      <c r="B6" s="64">
        <v>44927</v>
      </c>
      <c r="C6" s="72" t="s">
        <v>21</v>
      </c>
      <c r="D6" s="69" t="s">
        <v>19</v>
      </c>
      <c r="E6" s="60"/>
      <c r="F6" s="56">
        <v>1000000</v>
      </c>
      <c r="G6" s="39">
        <v>-1000000</v>
      </c>
      <c r="K6" s="8"/>
    </row>
    <row r="7" spans="2:11" ht="15.75" thickBot="1" x14ac:dyDescent="0.3">
      <c r="B7" s="64">
        <v>44928</v>
      </c>
      <c r="C7" s="71" t="s">
        <v>22</v>
      </c>
      <c r="D7" s="69" t="s">
        <v>23</v>
      </c>
      <c r="E7" s="60">
        <v>500000</v>
      </c>
      <c r="F7" s="56"/>
      <c r="G7" s="39">
        <v>500000</v>
      </c>
      <c r="K7" s="8"/>
    </row>
    <row r="8" spans="2:11" ht="15.75" thickBot="1" x14ac:dyDescent="0.3">
      <c r="B8" s="64">
        <v>44928</v>
      </c>
      <c r="C8" s="72" t="s">
        <v>20</v>
      </c>
      <c r="D8" s="69" t="s">
        <v>23</v>
      </c>
      <c r="E8" s="60"/>
      <c r="F8" s="56">
        <v>500000</v>
      </c>
      <c r="G8" s="39">
        <v>-500000</v>
      </c>
      <c r="K8" s="8"/>
    </row>
    <row r="9" spans="2:11" ht="15.75" thickBot="1" x14ac:dyDescent="0.3">
      <c r="B9" s="64">
        <v>44929</v>
      </c>
      <c r="C9" s="71" t="s">
        <v>25</v>
      </c>
      <c r="D9" s="69" t="s">
        <v>27</v>
      </c>
      <c r="E9" s="60">
        <v>600000</v>
      </c>
      <c r="F9" s="56"/>
      <c r="G9" s="39">
        <v>600000</v>
      </c>
      <c r="K9" s="8"/>
    </row>
    <row r="10" spans="2:11" ht="15.75" thickBot="1" x14ac:dyDescent="0.3">
      <c r="B10" s="64">
        <v>44929</v>
      </c>
      <c r="C10" s="72" t="s">
        <v>26</v>
      </c>
      <c r="D10" s="69" t="s">
        <v>27</v>
      </c>
      <c r="E10" s="60"/>
      <c r="F10" s="56">
        <v>600000</v>
      </c>
      <c r="G10" s="39">
        <v>-600000</v>
      </c>
      <c r="K10" s="8"/>
    </row>
    <row r="11" spans="2:11" ht="15.75" thickBot="1" x14ac:dyDescent="0.3">
      <c r="B11" s="64">
        <v>44930</v>
      </c>
      <c r="C11" s="71" t="s">
        <v>22</v>
      </c>
      <c r="D11" s="69" t="s">
        <v>27</v>
      </c>
      <c r="E11" s="60"/>
      <c r="F11" s="56">
        <v>200000</v>
      </c>
      <c r="G11" s="39">
        <v>-200000</v>
      </c>
      <c r="K11" s="8"/>
    </row>
    <row r="12" spans="2:11" ht="15.75" thickBot="1" x14ac:dyDescent="0.3">
      <c r="B12" s="64">
        <v>44930</v>
      </c>
      <c r="C12" s="72" t="s">
        <v>25</v>
      </c>
      <c r="D12" s="69" t="s">
        <v>27</v>
      </c>
      <c r="E12" s="60">
        <v>200000</v>
      </c>
      <c r="F12" s="56"/>
      <c r="G12" s="39">
        <v>200000</v>
      </c>
      <c r="K12" s="8"/>
    </row>
    <row r="13" spans="2:11" ht="15.75" thickBot="1" x14ac:dyDescent="0.3">
      <c r="B13" s="64">
        <v>44936</v>
      </c>
      <c r="C13" s="71" t="s">
        <v>20</v>
      </c>
      <c r="D13" s="69" t="s">
        <v>29</v>
      </c>
      <c r="E13" s="60">
        <v>400000</v>
      </c>
      <c r="F13" s="56"/>
      <c r="G13" s="39">
        <v>400000</v>
      </c>
      <c r="K13" s="8"/>
    </row>
    <row r="14" spans="2:11" ht="15.75" thickBot="1" x14ac:dyDescent="0.3">
      <c r="B14" s="64">
        <v>44936</v>
      </c>
      <c r="C14" s="73" t="s">
        <v>30</v>
      </c>
      <c r="D14" s="69" t="s">
        <v>31</v>
      </c>
      <c r="E14" s="60">
        <v>300000</v>
      </c>
      <c r="F14" s="56"/>
      <c r="G14" s="39">
        <v>300000</v>
      </c>
      <c r="K14" s="8"/>
    </row>
    <row r="15" spans="2:11" ht="15.75" thickBot="1" x14ac:dyDescent="0.3">
      <c r="B15" s="64">
        <v>44936</v>
      </c>
      <c r="C15" s="73" t="s">
        <v>25</v>
      </c>
      <c r="D15" s="69" t="s">
        <v>31</v>
      </c>
      <c r="E15" s="60"/>
      <c r="F15" s="56">
        <v>300000</v>
      </c>
      <c r="G15" s="39">
        <v>-300000</v>
      </c>
      <c r="K15" s="8"/>
    </row>
    <row r="16" spans="2:11" ht="15.75" thickBot="1" x14ac:dyDescent="0.3">
      <c r="B16" s="64">
        <v>44936</v>
      </c>
      <c r="C16" s="72" t="s">
        <v>28</v>
      </c>
      <c r="D16" s="69" t="s">
        <v>29</v>
      </c>
      <c r="E16" s="60"/>
      <c r="F16" s="56">
        <v>400000</v>
      </c>
      <c r="G16" s="39">
        <v>-400000</v>
      </c>
      <c r="K16" s="8"/>
    </row>
    <row r="17" spans="2:11" ht="15.75" thickBot="1" x14ac:dyDescent="0.3">
      <c r="B17" s="64">
        <v>44941</v>
      </c>
      <c r="C17" s="71" t="s">
        <v>30</v>
      </c>
      <c r="D17" s="69" t="s">
        <v>31</v>
      </c>
      <c r="E17" s="60">
        <v>150000</v>
      </c>
      <c r="F17" s="56"/>
      <c r="G17" s="39">
        <v>150000</v>
      </c>
      <c r="K17" s="8"/>
    </row>
    <row r="18" spans="2:11" ht="15.75" thickBot="1" x14ac:dyDescent="0.3">
      <c r="B18" s="64">
        <v>44941</v>
      </c>
      <c r="C18" s="73" t="s">
        <v>25</v>
      </c>
      <c r="D18" s="69" t="s">
        <v>31</v>
      </c>
      <c r="E18" s="60"/>
      <c r="F18" s="56">
        <v>150000</v>
      </c>
      <c r="G18" s="39">
        <v>-150000</v>
      </c>
      <c r="K18" s="8"/>
    </row>
    <row r="19" spans="2:11" ht="15.75" thickBot="1" x14ac:dyDescent="0.3">
      <c r="B19" s="64">
        <v>44941</v>
      </c>
      <c r="C19" s="73" t="s">
        <v>32</v>
      </c>
      <c r="D19" s="69" t="s">
        <v>33</v>
      </c>
      <c r="E19" s="60">
        <v>300000</v>
      </c>
      <c r="F19" s="56"/>
      <c r="G19" s="39">
        <v>300000</v>
      </c>
      <c r="K19" s="8"/>
    </row>
    <row r="20" spans="2:11" ht="15.75" thickBot="1" x14ac:dyDescent="0.3">
      <c r="B20" s="64">
        <v>44941</v>
      </c>
      <c r="C20" s="72" t="s">
        <v>28</v>
      </c>
      <c r="D20" s="69" t="s">
        <v>33</v>
      </c>
      <c r="E20" s="60"/>
      <c r="F20" s="56">
        <v>300000</v>
      </c>
      <c r="G20" s="39">
        <v>-300000</v>
      </c>
      <c r="K20" s="8"/>
    </row>
    <row r="21" spans="2:11" ht="15.75" thickBot="1" x14ac:dyDescent="0.3">
      <c r="B21" s="64">
        <v>44944</v>
      </c>
      <c r="C21" s="71" t="s">
        <v>22</v>
      </c>
      <c r="D21" s="69" t="s">
        <v>35</v>
      </c>
      <c r="E21" s="60"/>
      <c r="F21" s="56">
        <v>15000</v>
      </c>
      <c r="G21" s="39">
        <v>-15000</v>
      </c>
      <c r="K21" s="8"/>
    </row>
    <row r="22" spans="2:11" ht="15.75" thickBot="1" x14ac:dyDescent="0.3">
      <c r="B22" s="64">
        <v>44944</v>
      </c>
      <c r="C22" s="72" t="s">
        <v>34</v>
      </c>
      <c r="D22" s="69" t="s">
        <v>35</v>
      </c>
      <c r="E22" s="60">
        <v>15000</v>
      </c>
      <c r="F22" s="56"/>
      <c r="G22" s="39">
        <v>15000</v>
      </c>
      <c r="K22" s="8"/>
    </row>
    <row r="23" spans="2:11" ht="15.75" thickBot="1" x14ac:dyDescent="0.3">
      <c r="B23" s="64">
        <v>44956</v>
      </c>
      <c r="C23" s="71" t="s">
        <v>20</v>
      </c>
      <c r="D23" s="69" t="s">
        <v>37</v>
      </c>
      <c r="E23" s="60"/>
      <c r="F23" s="56">
        <v>100000</v>
      </c>
      <c r="G23" s="39">
        <v>-100000</v>
      </c>
      <c r="K23" s="8"/>
    </row>
    <row r="24" spans="2:11" ht="15.75" thickBot="1" x14ac:dyDescent="0.3">
      <c r="B24" s="64">
        <v>44956</v>
      </c>
      <c r="C24" s="72" t="s">
        <v>36</v>
      </c>
      <c r="D24" s="69" t="s">
        <v>37</v>
      </c>
      <c r="E24" s="60">
        <v>100000</v>
      </c>
      <c r="F24" s="56"/>
      <c r="G24" s="39">
        <v>100000</v>
      </c>
      <c r="K24" s="8"/>
    </row>
    <row r="25" spans="2:11" ht="15.75" thickBot="1" x14ac:dyDescent="0.3">
      <c r="B25" s="64">
        <v>44959</v>
      </c>
      <c r="C25" s="71" t="s">
        <v>20</v>
      </c>
      <c r="D25" s="69" t="s">
        <v>39</v>
      </c>
      <c r="E25" s="60"/>
      <c r="F25" s="56">
        <v>100000</v>
      </c>
      <c r="G25" s="39">
        <v>-100000</v>
      </c>
      <c r="K25" s="8"/>
    </row>
    <row r="26" spans="2:11" ht="15.75" thickBot="1" x14ac:dyDescent="0.3">
      <c r="B26" s="64">
        <v>44959</v>
      </c>
      <c r="C26" s="72" t="s">
        <v>26</v>
      </c>
      <c r="D26" s="69" t="s">
        <v>38</v>
      </c>
      <c r="E26" s="60">
        <v>100000</v>
      </c>
      <c r="F26" s="56"/>
      <c r="G26" s="39">
        <v>100000</v>
      </c>
      <c r="K26" s="8"/>
    </row>
    <row r="27" spans="2:11" ht="15.75" thickBot="1" x14ac:dyDescent="0.3">
      <c r="B27" s="64">
        <v>44962</v>
      </c>
      <c r="C27" s="71" t="s">
        <v>22</v>
      </c>
      <c r="D27" s="69" t="s">
        <v>40</v>
      </c>
      <c r="E27" s="60">
        <v>150000</v>
      </c>
      <c r="F27" s="56"/>
      <c r="G27" s="39">
        <v>150000</v>
      </c>
      <c r="K27" s="8"/>
    </row>
    <row r="28" spans="2:11" ht="15.75" thickBot="1" x14ac:dyDescent="0.3">
      <c r="B28" s="64">
        <v>44962</v>
      </c>
      <c r="C28" s="72" t="s">
        <v>32</v>
      </c>
      <c r="D28" s="69" t="s">
        <v>40</v>
      </c>
      <c r="E28" s="60"/>
      <c r="F28" s="56">
        <v>150000</v>
      </c>
      <c r="G28" s="39">
        <v>-150000</v>
      </c>
      <c r="K28" s="8"/>
    </row>
    <row r="29" spans="2:11" ht="15.75" thickBot="1" x14ac:dyDescent="0.3">
      <c r="B29" s="64">
        <v>45015</v>
      </c>
      <c r="C29" s="71" t="s">
        <v>57</v>
      </c>
      <c r="D29" s="69" t="s">
        <v>59</v>
      </c>
      <c r="E29" s="60">
        <v>20250</v>
      </c>
      <c r="F29" s="56"/>
      <c r="G29" s="39">
        <v>20250</v>
      </c>
      <c r="K29" s="8"/>
    </row>
    <row r="30" spans="2:11" ht="15.75" thickBot="1" x14ac:dyDescent="0.3">
      <c r="B30" s="64">
        <v>45015</v>
      </c>
      <c r="C30" s="72" t="s">
        <v>58</v>
      </c>
      <c r="D30" s="69" t="s">
        <v>59</v>
      </c>
      <c r="E30" s="60"/>
      <c r="F30" s="56">
        <v>20250</v>
      </c>
      <c r="G30" s="39">
        <v>-20250</v>
      </c>
      <c r="K30" s="8"/>
    </row>
    <row r="31" spans="2:11" ht="15.75" thickBot="1" x14ac:dyDescent="0.3">
      <c r="B31" s="64">
        <v>44967</v>
      </c>
      <c r="C31" s="71" t="s">
        <v>20</v>
      </c>
      <c r="D31" s="69" t="s">
        <v>65</v>
      </c>
      <c r="E31" s="60"/>
      <c r="F31" s="56">
        <v>100000</v>
      </c>
      <c r="G31" s="39">
        <v>-100000</v>
      </c>
      <c r="K31" s="8"/>
    </row>
    <row r="32" spans="2:11" ht="15.75" thickBot="1" x14ac:dyDescent="0.3">
      <c r="B32" s="65">
        <v>44967</v>
      </c>
      <c r="C32" s="72" t="s">
        <v>64</v>
      </c>
      <c r="D32" s="69" t="s">
        <v>65</v>
      </c>
      <c r="E32" s="60">
        <v>100000</v>
      </c>
      <c r="F32" s="56"/>
      <c r="G32" s="39">
        <v>100000</v>
      </c>
      <c r="K32" s="8"/>
    </row>
    <row r="33" spans="2:11" ht="15.75" thickBot="1" x14ac:dyDescent="0.3">
      <c r="B33" s="66" t="s">
        <v>41</v>
      </c>
      <c r="C33" s="67"/>
      <c r="D33" s="68"/>
      <c r="E33" s="61">
        <v>3935250</v>
      </c>
      <c r="F33" s="38">
        <v>3935250</v>
      </c>
      <c r="G33" s="40">
        <v>0</v>
      </c>
      <c r="K33" s="8"/>
    </row>
    <row r="34" spans="2:11" ht="15.75" thickBot="1" x14ac:dyDescent="0.3">
      <c r="B34" s="15"/>
      <c r="C34" s="16"/>
      <c r="D34" s="16"/>
      <c r="E34" s="16"/>
      <c r="F34" s="16"/>
      <c r="G34" s="16"/>
      <c r="H34" s="16"/>
      <c r="I34" s="16"/>
      <c r="J34" s="16"/>
      <c r="K34" s="17"/>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95AFD-5638-4334-AED6-18FEDA739A37}">
  <dimension ref="B2:E18"/>
  <sheetViews>
    <sheetView showGridLines="0" workbookViewId="0">
      <selection activeCell="I10" sqref="I10"/>
    </sheetView>
  </sheetViews>
  <sheetFormatPr defaultRowHeight="15" x14ac:dyDescent="0.25"/>
  <cols>
    <col min="2" max="2" width="45.28515625" bestFit="1" customWidth="1"/>
    <col min="3" max="3" width="17.7109375" bestFit="1" customWidth="1"/>
    <col min="4" max="4" width="19" customWidth="1"/>
    <col min="5" max="6" width="14.85546875" bestFit="1" customWidth="1"/>
    <col min="7" max="7" width="16.5703125" bestFit="1" customWidth="1"/>
    <col min="8" max="8" width="16.85546875" bestFit="1" customWidth="1"/>
  </cols>
  <sheetData>
    <row r="2" spans="2:5" ht="15.75" thickBot="1" x14ac:dyDescent="0.3"/>
    <row r="3" spans="2:5" ht="46.5" x14ac:dyDescent="0.7">
      <c r="B3" s="36" t="s">
        <v>45</v>
      </c>
      <c r="C3" s="33"/>
      <c r="D3" s="37"/>
      <c r="E3" s="18"/>
    </row>
    <row r="4" spans="2:5" x14ac:dyDescent="0.25">
      <c r="B4" s="34" t="s">
        <v>2</v>
      </c>
      <c r="C4" t="s">
        <v>42</v>
      </c>
      <c r="D4" t="s">
        <v>43</v>
      </c>
      <c r="E4" s="8" t="s">
        <v>44</v>
      </c>
    </row>
    <row r="5" spans="2:5" x14ac:dyDescent="0.25">
      <c r="B5" s="7" t="s">
        <v>22</v>
      </c>
      <c r="C5" s="35">
        <v>650000</v>
      </c>
      <c r="D5" s="35">
        <v>215000</v>
      </c>
      <c r="E5" s="39">
        <v>435000</v>
      </c>
    </row>
    <row r="6" spans="2:5" x14ac:dyDescent="0.25">
      <c r="B6" s="7" t="s">
        <v>20</v>
      </c>
      <c r="C6" s="35">
        <v>1400000</v>
      </c>
      <c r="D6" s="35">
        <v>800000</v>
      </c>
      <c r="E6" s="39">
        <v>600000</v>
      </c>
    </row>
    <row r="7" spans="2:5" x14ac:dyDescent="0.25">
      <c r="B7" s="7" t="s">
        <v>30</v>
      </c>
      <c r="C7" s="35">
        <v>450000</v>
      </c>
      <c r="D7" s="35"/>
      <c r="E7" s="39">
        <v>450000</v>
      </c>
    </row>
    <row r="8" spans="2:5" x14ac:dyDescent="0.25">
      <c r="B8" s="7" t="s">
        <v>34</v>
      </c>
      <c r="C8" s="35">
        <v>15000</v>
      </c>
      <c r="D8" s="35"/>
      <c r="E8" s="39">
        <v>15000</v>
      </c>
    </row>
    <row r="9" spans="2:5" x14ac:dyDescent="0.25">
      <c r="B9" s="7" t="s">
        <v>21</v>
      </c>
      <c r="C9" s="35"/>
      <c r="D9" s="35">
        <v>1000000</v>
      </c>
      <c r="E9" s="39">
        <v>-1000000</v>
      </c>
    </row>
    <row r="10" spans="2:5" x14ac:dyDescent="0.25">
      <c r="B10" s="7" t="s">
        <v>25</v>
      </c>
      <c r="C10" s="35">
        <v>800000</v>
      </c>
      <c r="D10" s="35">
        <v>450000</v>
      </c>
      <c r="E10" s="39">
        <v>350000</v>
      </c>
    </row>
    <row r="11" spans="2:5" x14ac:dyDescent="0.25">
      <c r="B11" s="7" t="s">
        <v>26</v>
      </c>
      <c r="C11" s="35">
        <v>100000</v>
      </c>
      <c r="D11" s="35">
        <v>600000</v>
      </c>
      <c r="E11" s="39">
        <v>-500000</v>
      </c>
    </row>
    <row r="12" spans="2:5" x14ac:dyDescent="0.25">
      <c r="B12" s="7" t="s">
        <v>32</v>
      </c>
      <c r="C12" s="35">
        <v>300000</v>
      </c>
      <c r="D12" s="35">
        <v>150000</v>
      </c>
      <c r="E12" s="39">
        <v>150000</v>
      </c>
    </row>
    <row r="13" spans="2:5" x14ac:dyDescent="0.25">
      <c r="B13" s="7" t="s">
        <v>36</v>
      </c>
      <c r="C13" s="35">
        <v>100000</v>
      </c>
      <c r="D13" s="35"/>
      <c r="E13" s="39">
        <v>100000</v>
      </c>
    </row>
    <row r="14" spans="2:5" x14ac:dyDescent="0.25">
      <c r="B14" s="7" t="s">
        <v>28</v>
      </c>
      <c r="C14" s="35"/>
      <c r="D14" s="35">
        <v>700000</v>
      </c>
      <c r="E14" s="39">
        <v>-700000</v>
      </c>
    </row>
    <row r="15" spans="2:5" x14ac:dyDescent="0.25">
      <c r="B15" s="7" t="s">
        <v>57</v>
      </c>
      <c r="C15" s="35">
        <v>20250</v>
      </c>
      <c r="D15" s="35"/>
      <c r="E15" s="39">
        <v>20250</v>
      </c>
    </row>
    <row r="16" spans="2:5" x14ac:dyDescent="0.25">
      <c r="B16" s="7" t="s">
        <v>58</v>
      </c>
      <c r="C16" s="35"/>
      <c r="D16" s="35">
        <v>20250</v>
      </c>
      <c r="E16" s="39">
        <v>-20250</v>
      </c>
    </row>
    <row r="17" spans="2:5" x14ac:dyDescent="0.25">
      <c r="B17" s="7" t="s">
        <v>64</v>
      </c>
      <c r="C17" s="35">
        <v>100000</v>
      </c>
      <c r="D17" s="35"/>
      <c r="E17" s="39">
        <v>100000</v>
      </c>
    </row>
    <row r="18" spans="2:5" ht="15.75" thickBot="1" x14ac:dyDescent="0.3">
      <c r="B18" s="15" t="s">
        <v>41</v>
      </c>
      <c r="C18" s="38">
        <v>3935250</v>
      </c>
      <c r="D18" s="38">
        <v>3935250</v>
      </c>
      <c r="E18" s="40">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D0D35-EE9A-4B6E-8E30-A6B6FFCDAE8A}">
  <dimension ref="B1:I19"/>
  <sheetViews>
    <sheetView showGridLines="0" workbookViewId="0">
      <selection activeCell="I29" sqref="I29"/>
    </sheetView>
  </sheetViews>
  <sheetFormatPr defaultRowHeight="15" x14ac:dyDescent="0.25"/>
  <cols>
    <col min="3" max="3" width="33.85546875" bestFit="1" customWidth="1"/>
    <col min="4" max="4" width="15" customWidth="1"/>
    <col min="5" max="5" width="15.5703125" customWidth="1"/>
    <col min="6" max="6" width="12.28515625" bestFit="1" customWidth="1"/>
    <col min="7" max="7" width="7.85546875" customWidth="1"/>
    <col min="8" max="8" width="2" customWidth="1"/>
    <col min="9" max="9" width="1.7109375" customWidth="1"/>
  </cols>
  <sheetData>
    <row r="1" spans="2:9" ht="15.75" thickBot="1" x14ac:dyDescent="0.3"/>
    <row r="2" spans="2:9" ht="24" x14ac:dyDescent="0.4">
      <c r="B2" s="41" t="s">
        <v>46</v>
      </c>
      <c r="C2" s="42"/>
      <c r="D2" s="42"/>
      <c r="E2" s="42"/>
      <c r="F2" s="42"/>
      <c r="G2" s="42"/>
      <c r="H2" s="42"/>
      <c r="I2" s="43"/>
    </row>
    <row r="3" spans="2:9" ht="18.75" x14ac:dyDescent="0.3">
      <c r="B3" s="44" t="s">
        <v>47</v>
      </c>
      <c r="C3" s="45"/>
      <c r="D3" s="45"/>
      <c r="E3" s="45"/>
      <c r="F3" s="45"/>
      <c r="G3" s="45"/>
      <c r="H3" s="45"/>
      <c r="I3" s="46"/>
    </row>
    <row r="4" spans="2:9" ht="15.75" x14ac:dyDescent="0.25">
      <c r="B4" s="47" t="s">
        <v>61</v>
      </c>
      <c r="C4" s="48"/>
      <c r="D4" s="48"/>
      <c r="E4" s="48"/>
      <c r="F4" s="48"/>
      <c r="G4" s="48"/>
      <c r="H4" s="48"/>
      <c r="I4" s="49"/>
    </row>
    <row r="5" spans="2:9" x14ac:dyDescent="0.25">
      <c r="B5" s="7"/>
      <c r="I5" s="8"/>
    </row>
    <row r="6" spans="2:9" s="3" customFormat="1" ht="20.100000000000001" customHeight="1" x14ac:dyDescent="0.25">
      <c r="B6" s="9"/>
      <c r="C6" s="10" t="s">
        <v>28</v>
      </c>
      <c r="F6" s="11">
        <f>VLOOKUP(C6,'Trial Balance'!$B$5:$E$14,4,0)*-1</f>
        <v>700000</v>
      </c>
      <c r="I6" s="12"/>
    </row>
    <row r="7" spans="2:9" s="3" customFormat="1" ht="20.100000000000001" customHeight="1" thickBot="1" x14ac:dyDescent="0.3">
      <c r="B7" s="9"/>
      <c r="C7" s="10" t="s">
        <v>30</v>
      </c>
      <c r="F7" s="11">
        <f>VLOOKUP(C7,'Trial Balance'!$B$5:$E$14,4,0)*-1</f>
        <v>-450000</v>
      </c>
      <c r="I7" s="12"/>
    </row>
    <row r="8" spans="2:9" s="3" customFormat="1" ht="20.100000000000001" customHeight="1" x14ac:dyDescent="0.25">
      <c r="B8" s="9"/>
      <c r="C8" s="13" t="s">
        <v>51</v>
      </c>
      <c r="F8" s="23">
        <f>F6+F7</f>
        <v>250000</v>
      </c>
      <c r="I8" s="12"/>
    </row>
    <row r="9" spans="2:9" s="3" customFormat="1" ht="20.100000000000001" customHeight="1" x14ac:dyDescent="0.25">
      <c r="B9" s="9"/>
      <c r="I9" s="12"/>
    </row>
    <row r="10" spans="2:9" s="3" customFormat="1" ht="20.100000000000001" customHeight="1" x14ac:dyDescent="0.25">
      <c r="B10" s="9"/>
      <c r="C10" s="14" t="s">
        <v>52</v>
      </c>
      <c r="I10" s="12"/>
    </row>
    <row r="11" spans="2:9" s="3" customFormat="1" ht="20.100000000000001" customHeight="1" x14ac:dyDescent="0.25">
      <c r="B11" s="9"/>
      <c r="I11" s="12"/>
    </row>
    <row r="12" spans="2:9" s="3" customFormat="1" ht="20.100000000000001" customHeight="1" x14ac:dyDescent="0.25">
      <c r="B12" s="9"/>
      <c r="C12" s="10" t="s">
        <v>36</v>
      </c>
      <c r="E12" s="11">
        <f>VLOOKUP(C12,'Trial Balance'!$B$5:$E$14,4,0)</f>
        <v>100000</v>
      </c>
      <c r="I12" s="12"/>
    </row>
    <row r="13" spans="2:9" s="3" customFormat="1" ht="20.100000000000001" customHeight="1" thickBot="1" x14ac:dyDescent="0.3">
      <c r="B13" s="9"/>
      <c r="C13" s="10" t="s">
        <v>34</v>
      </c>
      <c r="E13" s="11">
        <f>VLOOKUP(C13,'Trial Balance'!$B$5:$E$14,4,0)</f>
        <v>15000</v>
      </c>
      <c r="I13" s="12"/>
    </row>
    <row r="14" spans="2:9" s="3" customFormat="1" ht="20.100000000000001" customHeight="1" thickBot="1" x14ac:dyDescent="0.3">
      <c r="B14" s="9"/>
      <c r="C14" s="14" t="s">
        <v>53</v>
      </c>
      <c r="E14" s="24"/>
      <c r="F14" s="6">
        <f>(E12+E13)*-1</f>
        <v>-115000</v>
      </c>
      <c r="I14" s="12"/>
    </row>
    <row r="15" spans="2:9" s="3" customFormat="1" ht="20.100000000000001" customHeight="1" x14ac:dyDescent="0.25">
      <c r="B15" s="9"/>
      <c r="C15" s="13" t="s">
        <v>54</v>
      </c>
      <c r="F15" s="23">
        <f>F8+F14</f>
        <v>135000</v>
      </c>
      <c r="I15" s="12"/>
    </row>
    <row r="16" spans="2:9" ht="20.100000000000001" customHeight="1" x14ac:dyDescent="0.25">
      <c r="B16" s="7"/>
      <c r="C16" s="10" t="s">
        <v>55</v>
      </c>
      <c r="F16" s="11">
        <f>(F15*0.15)*-1</f>
        <v>-20250</v>
      </c>
      <c r="I16" s="8"/>
    </row>
    <row r="17" spans="2:9" ht="20.100000000000001" customHeight="1" thickBot="1" x14ac:dyDescent="0.3">
      <c r="B17" s="7"/>
      <c r="C17" s="13" t="s">
        <v>56</v>
      </c>
      <c r="E17" s="3"/>
      <c r="F17" s="5">
        <f>F15+F16</f>
        <v>114750</v>
      </c>
      <c r="I17" s="8"/>
    </row>
    <row r="18" spans="2:9" ht="15.75" thickTop="1" x14ac:dyDescent="0.25">
      <c r="B18" s="7"/>
      <c r="I18" s="8"/>
    </row>
    <row r="19" spans="2:9" ht="15.75" thickBot="1" x14ac:dyDescent="0.3">
      <c r="B19" s="15"/>
      <c r="C19" s="16"/>
      <c r="D19" s="16"/>
      <c r="E19" s="16"/>
      <c r="F19" s="16"/>
      <c r="G19" s="16"/>
      <c r="H19" s="16"/>
      <c r="I19" s="17"/>
    </row>
  </sheetData>
  <mergeCells count="3">
    <mergeCell ref="B2:I2"/>
    <mergeCell ref="B3:I3"/>
    <mergeCell ref="B4:I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94B4C-A929-49CE-94B0-BEAA7512D628}">
  <dimension ref="A1:J30"/>
  <sheetViews>
    <sheetView showGridLines="0" tabSelected="1" zoomScale="90" workbookViewId="0">
      <selection activeCell="L5" sqref="L5"/>
    </sheetView>
  </sheetViews>
  <sheetFormatPr defaultRowHeight="15" x14ac:dyDescent="0.25"/>
  <cols>
    <col min="2" max="2" width="29.28515625" bestFit="1" customWidth="1"/>
    <col min="4" max="4" width="12.85546875" customWidth="1"/>
    <col min="5" max="5" width="14.5703125" bestFit="1" customWidth="1"/>
    <col min="6" max="6" width="36.85546875" bestFit="1" customWidth="1"/>
    <col min="7" max="7" width="3" customWidth="1"/>
    <col min="8" max="8" width="12.85546875" customWidth="1"/>
    <col min="9" max="9" width="14.5703125" bestFit="1" customWidth="1"/>
  </cols>
  <sheetData>
    <row r="1" spans="1:9" ht="15.75" thickBot="1" x14ac:dyDescent="0.3"/>
    <row r="2" spans="1:9" ht="26.25" x14ac:dyDescent="0.4">
      <c r="B2" s="50" t="s">
        <v>60</v>
      </c>
      <c r="C2" s="51"/>
      <c r="D2" s="51"/>
      <c r="E2" s="51"/>
      <c r="F2" s="51"/>
      <c r="G2" s="51"/>
      <c r="H2" s="51"/>
      <c r="I2" s="52"/>
    </row>
    <row r="3" spans="1:9" ht="18.75" x14ac:dyDescent="0.3">
      <c r="B3" s="44" t="s">
        <v>49</v>
      </c>
      <c r="C3" s="45"/>
      <c r="D3" s="45"/>
      <c r="E3" s="45"/>
      <c r="F3" s="45"/>
      <c r="G3" s="45"/>
      <c r="H3" s="45"/>
      <c r="I3" s="46"/>
    </row>
    <row r="4" spans="1:9" ht="19.5" thickBot="1" x14ac:dyDescent="0.35">
      <c r="B4" s="53" t="s">
        <v>62</v>
      </c>
      <c r="C4" s="54"/>
      <c r="D4" s="54"/>
      <c r="E4" s="54"/>
      <c r="F4" s="54"/>
      <c r="G4" s="54"/>
      <c r="H4" s="54"/>
      <c r="I4" s="55"/>
    </row>
    <row r="5" spans="1:9" x14ac:dyDescent="0.25">
      <c r="A5" s="8"/>
      <c r="E5" s="18"/>
      <c r="I5" s="18"/>
    </row>
    <row r="6" spans="1:9" ht="18.75" x14ac:dyDescent="0.3">
      <c r="A6" s="8"/>
      <c r="B6" s="20" t="s">
        <v>6</v>
      </c>
      <c r="E6" s="8"/>
      <c r="F6" s="19" t="s">
        <v>63</v>
      </c>
      <c r="I6" s="8"/>
    </row>
    <row r="7" spans="1:9" ht="18.75" x14ac:dyDescent="0.3">
      <c r="A7" s="8"/>
      <c r="C7" s="20"/>
      <c r="D7" s="20"/>
      <c r="E7" s="21"/>
      <c r="G7" s="20"/>
      <c r="I7" s="8"/>
    </row>
    <row r="8" spans="1:9" ht="18.75" x14ac:dyDescent="0.3">
      <c r="A8" s="8"/>
      <c r="B8" s="20"/>
      <c r="C8" s="20"/>
      <c r="D8" s="20"/>
      <c r="E8" s="21"/>
      <c r="F8" s="26" t="s">
        <v>7</v>
      </c>
      <c r="G8" s="20"/>
      <c r="I8" s="8"/>
    </row>
    <row r="9" spans="1:9" ht="18.75" x14ac:dyDescent="0.3">
      <c r="A9" s="8"/>
      <c r="B9" s="31" t="s">
        <v>13</v>
      </c>
      <c r="E9" s="8"/>
      <c r="F9" s="29" t="s">
        <v>15</v>
      </c>
      <c r="I9" s="8"/>
    </row>
    <row r="10" spans="1:9" ht="19.5" thickBot="1" x14ac:dyDescent="0.3">
      <c r="A10" s="8"/>
      <c r="B10" s="27" t="s">
        <v>64</v>
      </c>
      <c r="D10" s="11">
        <f>VLOOKUP(B10,'Trial Balance'!$B$5:$E$17,4,0)</f>
        <v>100000</v>
      </c>
      <c r="E10" s="8"/>
      <c r="I10" s="30">
        <v>0</v>
      </c>
    </row>
    <row r="11" spans="1:9" ht="18.75" x14ac:dyDescent="0.25">
      <c r="A11" s="8"/>
      <c r="B11" s="28" t="s">
        <v>66</v>
      </c>
      <c r="E11" s="22">
        <v>100000</v>
      </c>
      <c r="F11" s="7"/>
      <c r="I11" s="8"/>
    </row>
    <row r="12" spans="1:9" x14ac:dyDescent="0.25">
      <c r="A12" s="8"/>
      <c r="F12" s="7"/>
      <c r="I12" s="8"/>
    </row>
    <row r="13" spans="1:9" ht="18.75" x14ac:dyDescent="0.3">
      <c r="A13" s="8"/>
      <c r="B13" s="31" t="s">
        <v>12</v>
      </c>
      <c r="E13" s="8"/>
      <c r="F13" s="29" t="s">
        <v>14</v>
      </c>
      <c r="I13" s="8"/>
    </row>
    <row r="14" spans="1:9" ht="18.75" x14ac:dyDescent="0.25">
      <c r="A14" s="8"/>
      <c r="B14" s="27" t="s">
        <v>22</v>
      </c>
      <c r="D14" s="11">
        <f>VLOOKUP(B14,'Trial Balance'!$B$5:$E$17,4,0)</f>
        <v>435000</v>
      </c>
      <c r="E14" s="8"/>
      <c r="F14" s="27" t="s">
        <v>26</v>
      </c>
      <c r="H14" s="11">
        <f>VLOOKUP(F14,'Trial Balance'!$B$5:$E$17,4,0)*-1</f>
        <v>500000</v>
      </c>
      <c r="I14" s="8"/>
    </row>
    <row r="15" spans="1:9" ht="19.5" thickBot="1" x14ac:dyDescent="0.3">
      <c r="A15" s="8"/>
      <c r="B15" s="27" t="s">
        <v>20</v>
      </c>
      <c r="D15" s="11">
        <f>VLOOKUP(B15,'Trial Balance'!$B$5:$E$17,4,0)</f>
        <v>600000</v>
      </c>
      <c r="E15" s="8"/>
      <c r="F15" s="27" t="s">
        <v>58</v>
      </c>
      <c r="H15" s="11">
        <f>VLOOKUP(F15,'Trial Balance'!$B$5:$E$17,4,0)*-1</f>
        <v>20250</v>
      </c>
      <c r="I15" s="8"/>
    </row>
    <row r="16" spans="1:9" ht="18.75" x14ac:dyDescent="0.25">
      <c r="A16" s="8"/>
      <c r="B16" s="27" t="s">
        <v>25</v>
      </c>
      <c r="D16" s="11">
        <f>VLOOKUP(B16,'Trial Balance'!$B$5:$E$17,4,0)</f>
        <v>350000</v>
      </c>
      <c r="E16" s="8"/>
      <c r="F16" s="28" t="s">
        <v>69</v>
      </c>
      <c r="I16" s="22">
        <f>SUM(H13:H15)</f>
        <v>520250</v>
      </c>
    </row>
    <row r="17" spans="1:10" ht="19.5" thickBot="1" x14ac:dyDescent="0.3">
      <c r="A17" s="8"/>
      <c r="B17" s="27" t="s">
        <v>32</v>
      </c>
      <c r="D17" s="11">
        <f>VLOOKUP(B17,'Trial Balance'!$B$5:$E$17,4,0)</f>
        <v>150000</v>
      </c>
      <c r="E17" s="8"/>
      <c r="I17" s="8"/>
    </row>
    <row r="18" spans="1:10" ht="19.5" thickBot="1" x14ac:dyDescent="0.3">
      <c r="A18" s="8"/>
      <c r="B18" s="28" t="s">
        <v>67</v>
      </c>
      <c r="E18" s="22">
        <f>SUM(D14:D17)</f>
        <v>1535000</v>
      </c>
      <c r="F18" s="13" t="s">
        <v>70</v>
      </c>
      <c r="I18" s="25">
        <v>520250</v>
      </c>
    </row>
    <row r="19" spans="1:10" ht="15.75" thickTop="1" x14ac:dyDescent="0.25">
      <c r="A19" s="8"/>
      <c r="E19" s="8"/>
      <c r="I19" s="8"/>
    </row>
    <row r="20" spans="1:10" x14ac:dyDescent="0.25">
      <c r="A20" s="8"/>
      <c r="E20" s="8"/>
      <c r="I20" s="8"/>
      <c r="J20" s="7"/>
    </row>
    <row r="21" spans="1:10" x14ac:dyDescent="0.25">
      <c r="A21" s="8"/>
      <c r="F21" s="7"/>
      <c r="J21" s="7"/>
    </row>
    <row r="22" spans="1:10" x14ac:dyDescent="0.25">
      <c r="A22" s="8"/>
      <c r="E22" s="8"/>
      <c r="I22" s="8"/>
    </row>
    <row r="23" spans="1:10" ht="18.75" x14ac:dyDescent="0.3">
      <c r="A23" s="8"/>
      <c r="E23" s="8"/>
      <c r="F23" s="26" t="s">
        <v>8</v>
      </c>
      <c r="I23" s="8"/>
    </row>
    <row r="24" spans="1:10" ht="18.75" x14ac:dyDescent="0.25">
      <c r="A24" s="8"/>
      <c r="E24" s="8"/>
      <c r="F24" s="27" t="s">
        <v>21</v>
      </c>
      <c r="H24" s="11">
        <f>VLOOKUP(F24,'Trial Balance'!$B$5:$E$17,4,0)*-1</f>
        <v>1000000</v>
      </c>
      <c r="I24" s="8"/>
    </row>
    <row r="25" spans="1:10" ht="19.5" thickBot="1" x14ac:dyDescent="0.3">
      <c r="A25" s="8"/>
      <c r="E25" s="8"/>
      <c r="F25" s="27" t="s">
        <v>71</v>
      </c>
      <c r="H25" s="11">
        <f>'Income Statement'!F17</f>
        <v>114750</v>
      </c>
      <c r="I25" s="8"/>
    </row>
    <row r="26" spans="1:10" ht="18.75" x14ac:dyDescent="0.25">
      <c r="A26" s="8"/>
      <c r="E26" s="8"/>
      <c r="F26" s="28" t="s">
        <v>72</v>
      </c>
      <c r="I26" s="22">
        <f>H25+H24</f>
        <v>1114750</v>
      </c>
    </row>
    <row r="27" spans="1:10" x14ac:dyDescent="0.25">
      <c r="A27" s="8"/>
      <c r="E27" s="8"/>
      <c r="I27" s="8"/>
    </row>
    <row r="28" spans="1:10" x14ac:dyDescent="0.25">
      <c r="B28" s="7"/>
      <c r="E28" s="8"/>
      <c r="F28" s="7"/>
      <c r="I28" s="8"/>
    </row>
    <row r="29" spans="1:10" ht="19.5" thickBot="1" x14ac:dyDescent="0.3">
      <c r="B29" s="32" t="s">
        <v>68</v>
      </c>
      <c r="E29" s="25">
        <f>E18+E11</f>
        <v>1635000</v>
      </c>
      <c r="F29" s="32" t="s">
        <v>73</v>
      </c>
      <c r="I29" s="25">
        <f>I26+I18</f>
        <v>1635000</v>
      </c>
    </row>
    <row r="30" spans="1:10" ht="16.5" thickTop="1" thickBot="1" x14ac:dyDescent="0.3">
      <c r="B30" s="15"/>
      <c r="C30" s="16"/>
      <c r="D30" s="16"/>
      <c r="E30" s="17"/>
      <c r="F30" s="15"/>
      <c r="G30" s="16"/>
      <c r="H30" s="16"/>
      <c r="I30" s="17"/>
    </row>
  </sheetData>
  <mergeCells count="3">
    <mergeCell ref="B2:I2"/>
    <mergeCell ref="B3:I3"/>
    <mergeCell ref="B4:I4"/>
  </mergeCells>
  <phoneticPr fontId="1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Charts of Accounts</vt:lpstr>
      <vt:lpstr>General Entries</vt:lpstr>
      <vt:lpstr>Ledger</vt:lpstr>
      <vt:lpstr>Trial Balance</vt:lpstr>
      <vt:lpstr>Income Statement</vt:lpstr>
      <vt:lpstr>Balance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Uzoma Peculiar Chukwunonyerem</dc:creator>
  <cp:lastModifiedBy>Uzoma Peculiar Chukwunonyerem</cp:lastModifiedBy>
  <dcterms:created xsi:type="dcterms:W3CDTF">2024-06-28T18:34:44Z</dcterms:created>
  <dcterms:modified xsi:type="dcterms:W3CDTF">2024-07-06T13:23:42Z</dcterms:modified>
</cp:coreProperties>
</file>